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2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3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drawings/drawing4.xml" ContentType="application/vnd.openxmlformats-officedocument.drawing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5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drawings/drawing6.xml" ContentType="application/vnd.openxmlformats-officedocument.drawing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drawings/drawing7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drawings/drawing8.xml" ContentType="application/vnd.openxmlformats-officedocument.drawing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drawings/drawing9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drawings/drawing10.xml" ContentType="application/vnd.openxmlformats-officedocument.drawing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drawings/drawing11.xml" ContentType="application/vnd.openxmlformats-officedocument.drawing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drawings/drawing12.xml" ContentType="application/vnd.openxmlformats-officedocument.drawing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drawings/drawing13.xml" ContentType="application/vnd.openxmlformats-officedocument.drawing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drawings/drawing14.xml" ContentType="application/vnd.openxmlformats-officedocument.drawing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drawings/drawing15.xml" ContentType="application/vnd.openxmlformats-officedocument.drawing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drawings/drawing16.xml" ContentType="application/vnd.openxmlformats-officedocument.drawing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drawings/drawing17.xml" ContentType="application/vnd.openxmlformats-officedocument.drawing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drawings/drawing18.xml" ContentType="application/vnd.openxmlformats-officedocument.drawing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drawings/drawing19.xml" ContentType="application/vnd.openxmlformats-officedocument.drawing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drawings/drawing20.xml" ContentType="application/vnd.openxmlformats-officedocument.drawing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drawings/drawing21.xml" ContentType="application/vnd.openxmlformats-officedocument.drawing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drawings/drawing22.xml" ContentType="application/vnd.openxmlformats-officedocument.drawing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drawings/drawing23.xml" ContentType="application/vnd.openxmlformats-officedocument.drawing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F:\OneDrive - Personal\CSPC FILES - Copy\FACILITIES RENTAL FORMS\"/>
    </mc:Choice>
  </mc:AlternateContent>
  <xr:revisionPtr revIDLastSave="0" documentId="13_ncr:1_{4D1043DA-4337-4BB5-B206-127D8A27A87D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old" sheetId="8" r:id="rId1"/>
    <sheet name="new" sheetId="9" r:id="rId2"/>
    <sheet name="TOGA" sheetId="24" r:id="rId3"/>
    <sheet name="DORM" sheetId="19" r:id="rId4"/>
    <sheet name="LAGYAP" sheetId="10" r:id="rId5"/>
    <sheet name="WATER" sheetId="28" r:id="rId6"/>
    <sheet name="CANTEEN" sheetId="11" r:id="rId7"/>
    <sheet name="HOTEL" sheetId="32" r:id="rId8"/>
    <sheet name="PHOTOCOPY" sheetId="27" r:id="rId9"/>
    <sheet name="STAFF HOUSE (2)" sheetId="25" r:id="rId10"/>
    <sheet name="STAFF HOUSE" sheetId="18" r:id="rId11"/>
    <sheet name="EVVENT ITO" sheetId="23" r:id="rId12"/>
    <sheet name="LGU 2" sheetId="26" r:id="rId13"/>
    <sheet name="EVET WITH ADDITIONAL" sheetId="17" r:id="rId14"/>
    <sheet name="NNHS 89.0" sheetId="14" r:id="rId15"/>
    <sheet name="NHHS" sheetId="15" r:id="rId16"/>
    <sheet name="LGU" sheetId="16" r:id="rId17"/>
    <sheet name="new (4)" sheetId="20" r:id="rId18"/>
    <sheet name="demi" sheetId="21" r:id="rId19"/>
    <sheet name="old (2)" sheetId="22" r:id="rId20"/>
    <sheet name="ARIS" sheetId="29" r:id="rId21"/>
    <sheet name="NNHS 1990)" sheetId="30" r:id="rId22"/>
    <sheet name="STUDIO" sheetId="31" r:id="rId23"/>
  </sheets>
  <definedNames>
    <definedName name="_xlnm.Print_Area" localSheetId="20">ARIS!$A$1:$G$51</definedName>
    <definedName name="_xlnm.Print_Area" localSheetId="6">CANTEEN!$A$1:$G$50</definedName>
    <definedName name="_xlnm.Print_Area" localSheetId="18">demi!$A$1:$G$50</definedName>
    <definedName name="_xlnm.Print_Area" localSheetId="3">DORM!$A$1:$G$52</definedName>
    <definedName name="_xlnm.Print_Area" localSheetId="13">'EVET WITH ADDITIONAL'!$A$1:$G$51</definedName>
    <definedName name="_xlnm.Print_Area" localSheetId="11">'EVVENT ITO'!$A$1:$G$50</definedName>
    <definedName name="_xlnm.Print_Area" localSheetId="7">HOTEL!$A$1:$G$50</definedName>
    <definedName name="_xlnm.Print_Area" localSheetId="4">LAGYAP!$A$1:$H$53</definedName>
    <definedName name="_xlnm.Print_Area" localSheetId="16">LGU!$A$1:$G$51</definedName>
    <definedName name="_xlnm.Print_Area" localSheetId="12">'LGU 2'!$A$1:$G$50</definedName>
    <definedName name="_xlnm.Print_Area" localSheetId="1">new!$A$1:$G$52</definedName>
    <definedName name="_xlnm.Print_Area" localSheetId="17">'new (4)'!$A$1:$G$50</definedName>
    <definedName name="_xlnm.Print_Area" localSheetId="15">NHHS!$A$1:$H$53</definedName>
    <definedName name="_xlnm.Print_Area" localSheetId="21">'NNHS 1990)'!$A$1:$G$51</definedName>
    <definedName name="_xlnm.Print_Area" localSheetId="14">'NNHS 89.0'!$A$1:$G$51</definedName>
    <definedName name="_xlnm.Print_Area" localSheetId="0">old!$A$1:$G$50</definedName>
    <definedName name="_xlnm.Print_Area" localSheetId="19">'old (2)'!$A$1:$G$50</definedName>
    <definedName name="_xlnm.Print_Area" localSheetId="8">PHOTOCOPY!$A$1:$G$50</definedName>
    <definedName name="_xlnm.Print_Area" localSheetId="10">'STAFF HOUSE'!$A$1:$G$50</definedName>
    <definedName name="_xlnm.Print_Area" localSheetId="9">'STAFF HOUSE (2)'!$A$1:$G$50</definedName>
    <definedName name="_xlnm.Print_Area" localSheetId="22">STUDIO!$A$1:$G$51</definedName>
    <definedName name="_xlnm.Print_Area" localSheetId="2">TOGA!$A$1:$G$52</definedName>
    <definedName name="_xlnm.Print_Area" localSheetId="5">WATER!$A$1:$G$50</definedName>
  </definedNames>
  <calcPr calcId="181029"/>
</workbook>
</file>

<file path=xl/calcChain.xml><?xml version="1.0" encoding="utf-8"?>
<calcChain xmlns="http://schemas.openxmlformats.org/spreadsheetml/2006/main">
  <c r="F44" i="32" l="1"/>
  <c r="H21" i="32"/>
  <c r="F45" i="31"/>
  <c r="F45" i="30"/>
  <c r="F45" i="29"/>
  <c r="F44" i="23"/>
  <c r="F44" i="28"/>
  <c r="H21" i="28"/>
  <c r="F44" i="27"/>
  <c r="H21" i="27"/>
  <c r="F44" i="26"/>
  <c r="H21" i="26"/>
  <c r="F44" i="25"/>
  <c r="H21" i="25"/>
  <c r="F45" i="24"/>
  <c r="I22" i="24"/>
  <c r="M16" i="24"/>
  <c r="H21" i="23"/>
  <c r="F39" i="22"/>
  <c r="F44" i="22" s="1"/>
  <c r="F44" i="21"/>
  <c r="H21" i="21"/>
  <c r="F44" i="20"/>
  <c r="H21" i="20"/>
  <c r="F45" i="16"/>
  <c r="H44" i="15"/>
  <c r="F44" i="15"/>
  <c r="F45" i="15" s="1"/>
  <c r="F45" i="14"/>
  <c r="F45" i="17"/>
  <c r="F44" i="18"/>
  <c r="H21" i="18"/>
  <c r="F44" i="11"/>
  <c r="H44" i="10"/>
  <c r="F45" i="10" s="1"/>
  <c r="F44" i="10"/>
  <c r="F45" i="19"/>
  <c r="I22" i="19"/>
  <c r="M16" i="19"/>
  <c r="F45" i="9"/>
  <c r="I22" i="9"/>
  <c r="M16" i="9"/>
</calcChain>
</file>

<file path=xl/sharedStrings.xml><?xml version="1.0" encoding="utf-8"?>
<sst xmlns="http://schemas.openxmlformats.org/spreadsheetml/2006/main" count="2233" uniqueCount="145">
  <si>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</si>
  <si>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</si>
  <si>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</si>
  <si>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</si>
  <si>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</si>
  <si>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</si>
  <si>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</si>
  <si>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</si>
  <si>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</si>
  <si>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</si>
  <si>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</si>
  <si>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</si>
  <si>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</si>
  <si>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</si>
  <si>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</si>
  <si>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</si>
  <si>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</si>
  <si>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</si>
  <si>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</si>
  <si>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</si>
  <si>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</si>
  <si>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</si>
  <si>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</si>
  <si>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</si>
  <si>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</si>
  <si>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</si>
  <si>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</si>
  <si>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</si>
  <si>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</si>
  <si>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</si>
  <si>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</si>
  <si>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</si>
  <si>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</si>
  <si>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</si>
  <si>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</si>
  <si>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</si>
  <si>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</si>
  <si>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</si>
  <si>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</si>
  <si>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</si>
  <si>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</si>
  <si>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</si>
  <si>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</si>
  <si>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</si>
  <si>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</si>
  <si>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</si>
  <si>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</si>
  <si>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</si>
  <si>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</si>
  <si>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</si>
  <si>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b/>
        <sz val="12"/>
        <color rgb="FF000000"/>
        <rFont val="Cambria"/>
        <family val="1"/>
      </rPr>
      <t>Electri</t>
    </r>
    <r>
      <rPr>
        <sz val="12"/>
        <color rgb="FF000000"/>
        <rFont val="Cambria"/>
        <family val="1"/>
      </rPr>
      <t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</si>
  <si>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</si>
  <si>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</si>
  <si>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</si>
  <si>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</si>
  <si>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</si>
  <si>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</si>
  <si>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</si>
  <si>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</si>
  <si>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</si>
  <si>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 xml:space="preserve"> 28 X ₱65.00</t>
  </si>
  <si>
    <t xml:space="preserve"> 1000 X ₱7.50</t>
  </si>
  <si>
    <t xml:space="preserve"> 28 X ₱10.00</t>
  </si>
  <si>
    <t xml:space="preserve">RED CARPET
OVERTIME PAYMENT
SOUND SYSTEM 
PHOTOBOOTH 
LED WALL TV
</t>
  </si>
  <si>
    <t xml:space="preserve">  </t>
  </si>
  <si>
    <t xml:space="preserve">Others :   </t>
  </si>
  <si>
    <t xml:space="preserve">                                         </t>
  </si>
  <si>
    <t xml:space="preserve"> </t>
  </si>
  <si>
    <t xml:space="preserve"> April 22, 2024</t>
  </si>
  <si>
    <t xml:space="preserve"> April 23, 2024</t>
  </si>
  <si>
    <t>80 X ₱7.50</t>
  </si>
  <si>
    <t>34 X ₱65.00</t>
  </si>
  <si>
    <t>34 X ₱10.00</t>
  </si>
  <si>
    <t>1 X ₱65.00</t>
  </si>
  <si>
    <t xml:space="preserve"> 1 X ₱10.00</t>
  </si>
  <si>
    <r>
      <rPr>
        <b/>
        <sz val="16"/>
        <color rgb="FF000000"/>
        <rFont val="Cambria"/>
        <family val="1"/>
      </rPr>
      <t>Electri</t>
    </r>
    <r>
      <rPr>
        <sz val="16"/>
        <color rgb="FF000000"/>
        <rFont val="Cambria"/>
        <family val="1"/>
      </rPr>
      <t>c/Water Bill</t>
    </r>
  </si>
  <si>
    <t>SUB-TOTAL</t>
  </si>
  <si>
    <t>GRAND TOTAL</t>
  </si>
  <si>
    <t xml:space="preserve">                                        Supply and Property In-charge</t>
  </si>
  <si>
    <t>6 X ₱10.00</t>
  </si>
  <si>
    <t>250 X ₱7.50</t>
  </si>
  <si>
    <t>10 rectangular</t>
  </si>
  <si>
    <t>25 rounds</t>
  </si>
  <si>
    <t>NNHS BATCH'89 c/o TEODITH P. LLORENTE</t>
  </si>
  <si>
    <t xml:space="preserve">Date: </t>
  </si>
  <si>
    <t>July 6, 2024</t>
  </si>
  <si>
    <t>July 7, 2024</t>
  </si>
  <si>
    <t>6X ₱65.00</t>
  </si>
  <si>
    <t>LGU NABUA c/o JORGE SERNAL</t>
  </si>
  <si>
    <t>APRIL 30, 2024</t>
  </si>
  <si>
    <t>300 X ₱7.50</t>
  </si>
  <si>
    <t>100 X ₱7.50</t>
  </si>
  <si>
    <t>15 X ₱65.00</t>
  </si>
  <si>
    <t>15 X ₱10.00</t>
  </si>
  <si>
    <t>22 X ₱7.50</t>
  </si>
  <si>
    <t>MCHL c/o MARIA ELOISA P. DEBIL</t>
  </si>
  <si>
    <t>600 X ₱7.50</t>
  </si>
  <si>
    <t>4 X ₱65.00</t>
  </si>
  <si>
    <t>4 X ₱10.00</t>
  </si>
  <si>
    <t>MOTHER THERESA COLEGIO DE IRIGA c/o KAYCEE LOZARITA</t>
  </si>
  <si>
    <t>FE BALLESTER</t>
  </si>
  <si>
    <t xml:space="preserve">   7 x  P 65.00</t>
  </si>
  <si>
    <t>60 X P    7.50</t>
  </si>
  <si>
    <t>60 X P     7.50</t>
  </si>
  <si>
    <t xml:space="preserve">   7 x  P 10.00</t>
  </si>
  <si>
    <t>ST. JUDE THADDEUS LEARNING CENTER</t>
  </si>
  <si>
    <t>200 X P     7.50</t>
  </si>
  <si>
    <t xml:space="preserve"> 4 x  P 65.00</t>
  </si>
  <si>
    <t xml:space="preserve"> 4 x  P 10.00</t>
  </si>
  <si>
    <t>LIANN LYNE O. LIMSIACO</t>
  </si>
  <si>
    <r>
      <rPr>
        <b/>
        <u val="singleAccounting"/>
        <sz val="12"/>
        <color rgb="FF000000"/>
        <rFont val="Cambria"/>
        <family val="1"/>
      </rPr>
      <t>Electri</t>
    </r>
    <r>
      <rPr>
        <u val="singleAccounting"/>
        <sz val="12"/>
        <color rgb="FF000000"/>
        <rFont val="Cambria"/>
        <family val="1"/>
      </rPr>
      <t>c</t>
    </r>
    <r>
      <rPr>
        <sz val="12"/>
        <color rgb="FF000000"/>
        <rFont val="Cambria"/>
        <family val="1"/>
      </rPr>
      <t>/Water Bill</t>
    </r>
  </si>
  <si>
    <t>NNHS BATCH 1990 c/o CECLIA MASINDO</t>
  </si>
  <si>
    <t>285 X ₱7.50</t>
  </si>
  <si>
    <t>275 X ₱7.50</t>
  </si>
  <si>
    <t>25 X ₱65.00</t>
  </si>
  <si>
    <t>25 X ₱10.00</t>
  </si>
  <si>
    <t>ARNEL L. ABAGAT</t>
  </si>
  <si>
    <t>V.MARTINEZ PHOTOCOPY CENTER</t>
  </si>
  <si>
    <t>For the month of MAY2024</t>
  </si>
  <si>
    <t>ARNEL ABAGAT</t>
  </si>
  <si>
    <t>R. MIJARES PHOTOCOPY CENTER</t>
  </si>
  <si>
    <t>JESTER SOCIETY c/o VICTOR GASTILLO</t>
  </si>
  <si>
    <t>200 X ₱7.50</t>
  </si>
  <si>
    <t>20 X ₱65.00</t>
  </si>
  <si>
    <t>20 X ₱10.00</t>
  </si>
  <si>
    <t>JASON TOLEDO</t>
  </si>
  <si>
    <t>APRIL 22-23, 2025 (2 ROOMS)</t>
  </si>
  <si>
    <t>BID DOCUMENTS FOR DISPOSAL</t>
  </si>
  <si>
    <t>OLIVA REUNION c/o AMADO A. OLIVA</t>
  </si>
  <si>
    <t>38 X ₱65.00</t>
  </si>
  <si>
    <t>38 X ₱10.00</t>
  </si>
  <si>
    <t>MARIO LOPEZ JUNKSHOP</t>
  </si>
  <si>
    <t xml:space="preserve"> for the monthe of MARCH 2025</t>
  </si>
  <si>
    <t>EDEN PANITERCE</t>
  </si>
  <si>
    <t>12 X ₱65.00</t>
  </si>
  <si>
    <t>12 X ₱10.00</t>
  </si>
  <si>
    <t>NNHS BATCH 85 c/o  IMELDA REBULADO-PEREZ</t>
  </si>
  <si>
    <t>PEDRO P. TURIANO</t>
  </si>
  <si>
    <t xml:space="preserve"> for the month of April 2025</t>
  </si>
  <si>
    <t>SOTERA GONOWON (STALL 1)</t>
  </si>
  <si>
    <t>-</t>
  </si>
  <si>
    <t xml:space="preserve"> Month Of April 2025</t>
  </si>
  <si>
    <t>CHRISTINE COMBATE</t>
  </si>
  <si>
    <t>JOSEPH LAGRIMAS (STALL 2)</t>
  </si>
  <si>
    <t xml:space="preserve"> February 17, 2025 - April 14,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</si>
</sst>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  <font>
      <sz val="11"/>
      <color theme="1"/>
      <name val="Cambria"/>
      <family val="1"/>
    </font>
    <font>
      <sz val="10"/>
      <color theme="1"/>
      <name val="Arial Black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8"/>
      <color theme="1"/>
      <name val="Cambria"/>
      <family val="1"/>
    </font>
    <font>
      <strike/>
      <sz val="12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libri"/>
      <family val="2"/>
      <scheme val="minor"/>
    </font>
    <font>
      <u/>
      <sz val="12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Berlin Sans FB Demi"/>
      <family val="2"/>
    </font>
    <font>
      <sz val="16"/>
      <color theme="1"/>
      <name val="Cambria"/>
      <family val="1"/>
    </font>
    <font>
      <b/>
      <sz val="16"/>
      <color rgb="FF000000"/>
      <name val="Cambria"/>
      <family val="1"/>
    </font>
    <font>
      <b/>
      <sz val="12"/>
      <color theme="1"/>
      <name val="Calibri"/>
      <family val="2"/>
      <scheme val="minor"/>
    </font>
    <font>
      <sz val="16"/>
      <color rgb="FF000000"/>
      <name val="Cambria"/>
      <family val="1"/>
    </font>
    <font>
      <sz val="16"/>
      <color theme="1"/>
      <name val="Calibri"/>
      <family val="2"/>
    </font>
    <font>
      <sz val="16"/>
      <color rgb="FF000000"/>
      <name val="Calibri"/>
      <family val="2"/>
      <scheme val="minor"/>
    </font>
    <font>
      <u/>
      <sz val="16"/>
      <color rgb="FF000000"/>
      <name val="Cambria"/>
      <family val="1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FF0000"/>
      <name val="Cambria"/>
      <family val="1"/>
    </font>
    <font>
      <b/>
      <sz val="16"/>
      <color theme="1"/>
      <name val="Cambria"/>
      <family val="1"/>
    </font>
    <font>
      <b/>
      <sz val="16"/>
      <name val="Calibri"/>
      <family val="2"/>
      <scheme val="minor"/>
    </font>
    <font>
      <i/>
      <sz val="16"/>
      <color theme="1"/>
      <name val="Cambria"/>
      <family val="1"/>
    </font>
    <font>
      <strike/>
      <sz val="16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Black"/>
      <family val="2"/>
    </font>
    <font>
      <b/>
      <sz val="10"/>
      <color theme="1"/>
      <name val="Arial"/>
      <family val="2"/>
    </font>
    <font>
      <b/>
      <u val="singleAccounting"/>
      <sz val="12"/>
      <color rgb="FF000000"/>
      <name val="Cambria"/>
      <family val="1"/>
    </font>
    <font>
      <u val="singleAccounting"/>
      <sz val="12"/>
      <color rgb="FF000000"/>
      <name val="Cambria"/>
      <family val="1"/>
    </font>
    <font>
      <sz val="8"/>
      <color theme="1"/>
      <name val="Arial Black"/>
      <family val="2"/>
    </font>
    <font>
      <sz val="8"/>
      <color theme="1"/>
      <name val="Calibri"/>
      <family val="2"/>
      <scheme val="minor"/>
    </font>
    <font>
      <sz val="10"/>
      <color rgb="FF000000"/>
      <name val="Cambria"/>
      <family val="1"/>
    </font>
    <font>
      <sz val="8"/>
      <color rgb="FF000000"/>
      <name val="Cambria"/>
      <family val="1"/>
    </font>
    <font>
      <b/>
      <sz val="9"/>
      <color theme="1"/>
      <name val="Arial"/>
      <family val="2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47" fillId="0" borderId="0" applyFont="0" applyFill="0" applyBorder="0" applyAlignment="0" applyProtection="0"/>
  </cellStyleXfs>
  <cellXfs count="157">
    <xf numFmtId="0" fontId="0" fillId="0" borderId="0" xfId="0"/>
    <xf numFmtId="43" fontId="0" fillId="0" borderId="0" xfId="1" applyFont="1"/>
    <xf numFmtId="43" fontId="0" fillId="0" borderId="0" xfId="1" applyFont="1" applyBorder="1" applyAlignment="1">
      <alignment horizontal="left"/>
    </xf>
    <xf numFmtId="43" fontId="0" fillId="0" borderId="0" xfId="1" applyFont="1" applyBorder="1" applyAlignment="1">
      <alignment horizontal="right"/>
    </xf>
    <xf numFmtId="43" fontId="5" fillId="0" borderId="0" xfId="1" applyFont="1" applyBorder="1" applyAlignment="1">
      <alignment horizontal="left" indent="7"/>
    </xf>
    <xf numFmtId="43" fontId="0" fillId="0" borderId="0" xfId="1" applyFont="1" applyBorder="1"/>
    <xf numFmtId="43" fontId="4" fillId="0" borderId="0" xfId="1" applyFont="1" applyAlignment="1">
      <alignment horizontal="left"/>
    </xf>
    <xf numFmtId="14" fontId="0" fillId="0" borderId="0" xfId="1" applyNumberFormat="1" applyFont="1" applyBorder="1"/>
    <xf numFmtId="43" fontId="6" fillId="0" borderId="0" xfId="1" applyFont="1" applyAlignment="1">
      <alignment vertical="center"/>
    </xf>
    <xf numFmtId="43" fontId="7" fillId="0" borderId="0" xfId="1" applyFont="1" applyAlignment="1">
      <alignment vertical="center"/>
    </xf>
    <xf numFmtId="43" fontId="8" fillId="0" borderId="0" xfId="1" applyFont="1" applyAlignment="1">
      <alignment horizontal="center" vertical="center"/>
    </xf>
    <xf numFmtId="43" fontId="9" fillId="0" borderId="0" xfId="1" applyFont="1"/>
    <xf numFmtId="43" fontId="10" fillId="0" borderId="1" xfId="1" applyFont="1" applyBorder="1" applyAlignment="1">
      <alignment horizontal="left" vertical="center"/>
    </xf>
    <xf numFmtId="43" fontId="11" fillId="0" borderId="0" xfId="1" applyFont="1" applyAlignment="1">
      <alignment vertical="center"/>
    </xf>
    <xf numFmtId="43" fontId="10" fillId="0" borderId="2" xfId="1" applyFont="1" applyBorder="1" applyAlignment="1">
      <alignment horizontal="left" vertical="center"/>
    </xf>
    <xf numFmtId="43" fontId="0" fillId="0" borderId="1" xfId="1" applyFont="1" applyBorder="1" applyAlignment="1">
      <alignment horizontal="center"/>
    </xf>
    <xf numFmtId="43" fontId="0" fillId="0" borderId="2" xfId="1" applyFont="1" applyBorder="1" applyAlignment="1">
      <alignment horizontal="left" vertical="center"/>
    </xf>
    <xf numFmtId="43" fontId="12" fillId="0" borderId="0" xfId="1" applyFont="1" applyAlignment="1">
      <alignment vertical="center"/>
    </xf>
    <xf numFmtId="43" fontId="8" fillId="0" borderId="0" xfId="1" applyFont="1" applyAlignment="1">
      <alignment horizontal="left" vertical="center" indent="3"/>
    </xf>
    <xf numFmtId="43" fontId="4" fillId="0" borderId="0" xfId="1" applyFont="1" applyAlignment="1">
      <alignment horizontal="left" indent="3"/>
    </xf>
    <xf numFmtId="43" fontId="8" fillId="0" borderId="0" xfId="1" applyFont="1" applyAlignment="1">
      <alignment vertical="center"/>
    </xf>
    <xf numFmtId="43" fontId="13" fillId="0" borderId="0" xfId="1" applyFont="1" applyAlignment="1">
      <alignment vertical="center"/>
    </xf>
    <xf numFmtId="43" fontId="7" fillId="0" borderId="1" xfId="1" applyFont="1" applyBorder="1" applyAlignment="1">
      <alignment vertical="center"/>
    </xf>
    <xf numFmtId="43" fontId="14" fillId="0" borderId="0" xfId="1" applyFont="1"/>
    <xf numFmtId="43" fontId="0" fillId="0" borderId="2" xfId="1" applyFont="1" applyBorder="1"/>
    <xf numFmtId="43" fontId="7" fillId="0" borderId="0" xfId="1" applyFont="1" applyAlignment="1">
      <alignment horizontal="right" vertical="center"/>
    </xf>
    <xf numFmtId="43" fontId="7" fillId="0" borderId="0" xfId="1" applyFont="1" applyAlignment="1">
      <alignment horizontal="left" vertical="center" indent="2"/>
    </xf>
    <xf numFmtId="43" fontId="0" fillId="0" borderId="0" xfId="1" applyFont="1" applyAlignment="1">
      <alignment horizontal="left" vertical="center"/>
    </xf>
    <xf numFmtId="43" fontId="14" fillId="0" borderId="2" xfId="1" applyFont="1" applyBorder="1"/>
    <xf numFmtId="43" fontId="9" fillId="0" borderId="0" xfId="1" applyFont="1" applyAlignment="1"/>
    <xf numFmtId="43" fontId="0" fillId="0" borderId="1" xfId="1" applyFont="1" applyBorder="1" applyAlignment="1"/>
    <xf numFmtId="43" fontId="15" fillId="0" borderId="0" xfId="1" applyFont="1" applyAlignment="1">
      <alignment vertical="center"/>
    </xf>
    <xf numFmtId="43" fontId="7" fillId="0" borderId="0" xfId="1" applyFont="1" applyAlignment="1">
      <alignment horizontal="center" vertical="center"/>
    </xf>
    <xf numFmtId="43" fontId="0" fillId="0" borderId="1" xfId="1" applyFont="1" applyBorder="1" applyAlignment="1">
      <alignment horizontal="left" vertical="center"/>
    </xf>
    <xf numFmtId="43" fontId="0" fillId="0" borderId="1" xfId="1" applyFont="1" applyBorder="1"/>
    <xf numFmtId="43" fontId="0" fillId="0" borderId="0" xfId="1" applyFont="1" applyBorder="1" applyAlignment="1">
      <alignment horizontal="left" vertical="center"/>
    </xf>
    <xf numFmtId="43" fontId="7" fillId="0" borderId="2" xfId="1" applyFont="1" applyBorder="1" applyAlignment="1">
      <alignment vertical="center"/>
    </xf>
    <xf numFmtId="43" fontId="16" fillId="0" borderId="1" xfId="1" applyFont="1" applyBorder="1" applyAlignment="1">
      <alignment horizontal="left" vertical="center"/>
    </xf>
    <xf numFmtId="43" fontId="7" fillId="0" borderId="0" xfId="1" applyFont="1"/>
    <xf numFmtId="43" fontId="10" fillId="0" borderId="2" xfId="1" applyFont="1" applyBorder="1" applyAlignment="1">
      <alignment vertical="center"/>
    </xf>
    <xf numFmtId="0" fontId="17" fillId="0" borderId="0" xfId="0" applyFont="1"/>
    <xf numFmtId="43" fontId="7" fillId="0" borderId="0" xfId="1" applyFont="1" applyAlignment="1">
      <alignment horizontal="center"/>
    </xf>
    <xf numFmtId="43" fontId="18" fillId="0" borderId="0" xfId="1" applyFont="1"/>
    <xf numFmtId="43" fontId="19" fillId="0" borderId="2" xfId="1" applyFont="1" applyBorder="1" applyAlignment="1">
      <alignment vertical="center"/>
    </xf>
    <xf numFmtId="43" fontId="20" fillId="0" borderId="0" xfId="1" applyFont="1"/>
    <xf numFmtId="43" fontId="21" fillId="0" borderId="0" xfId="1" applyFont="1" applyAlignment="1">
      <alignment horizontal="center"/>
    </xf>
    <xf numFmtId="43" fontId="22" fillId="0" borderId="0" xfId="1" applyFont="1"/>
    <xf numFmtId="43" fontId="23" fillId="0" borderId="0" xfId="1" applyFont="1"/>
    <xf numFmtId="43" fontId="24" fillId="0" borderId="0" xfId="1" applyFont="1"/>
    <xf numFmtId="43" fontId="25" fillId="0" borderId="2" xfId="1" applyFont="1" applyBorder="1" applyAlignment="1">
      <alignment horizontal="right" vertical="center"/>
    </xf>
    <xf numFmtId="43" fontId="0" fillId="0" borderId="0" xfId="1" applyFont="1" applyAlignment="1">
      <alignment horizontal="left" vertical="center" wrapText="1"/>
    </xf>
    <xf numFmtId="4" fontId="17" fillId="0" borderId="0" xfId="0" applyNumberFormat="1" applyFont="1"/>
    <xf numFmtId="43" fontId="4" fillId="0" borderId="0" xfId="1" applyFont="1" applyAlignment="1">
      <alignment horizontal="left" indent="6"/>
    </xf>
    <xf numFmtId="43" fontId="0" fillId="0" borderId="0" xfId="1" applyFont="1" applyAlignment="1"/>
    <xf numFmtId="43" fontId="0" fillId="0" borderId="0" xfId="1" applyFont="1" applyBorder="1" applyAlignment="1"/>
    <xf numFmtId="15" fontId="28" fillId="0" borderId="0" xfId="1" applyNumberFormat="1" applyFont="1"/>
    <xf numFmtId="0" fontId="10" fillId="0" borderId="0" xfId="0" applyFont="1"/>
    <xf numFmtId="43" fontId="29" fillId="0" borderId="0" xfId="1" applyFont="1"/>
    <xf numFmtId="43" fontId="29" fillId="0" borderId="0" xfId="1" applyFont="1" applyBorder="1" applyAlignment="1">
      <alignment horizontal="left"/>
    </xf>
    <xf numFmtId="43" fontId="29" fillId="0" borderId="0" xfId="1" applyFont="1" applyBorder="1"/>
    <xf numFmtId="43" fontId="31" fillId="0" borderId="0" xfId="1" applyFont="1" applyAlignment="1">
      <alignment horizontal="left"/>
    </xf>
    <xf numFmtId="43" fontId="32" fillId="0" borderId="0" xfId="1" applyFont="1" applyAlignment="1">
      <alignment vertical="center"/>
    </xf>
    <xf numFmtId="43" fontId="34" fillId="0" borderId="0" xfId="1" applyFont="1" applyAlignment="1">
      <alignment vertical="center"/>
    </xf>
    <xf numFmtId="43" fontId="34" fillId="0" borderId="0" xfId="1" applyFont="1" applyAlignment="1">
      <alignment horizontal="center" vertical="center"/>
    </xf>
    <xf numFmtId="43" fontId="35" fillId="0" borderId="0" xfId="1" applyFont="1"/>
    <xf numFmtId="43" fontId="36" fillId="0" borderId="1" xfId="1" applyFont="1" applyBorder="1" applyAlignment="1">
      <alignment horizontal="left" vertical="center"/>
    </xf>
    <xf numFmtId="43" fontId="36" fillId="0" borderId="2" xfId="1" applyFont="1" applyBorder="1" applyAlignment="1">
      <alignment horizontal="left" vertical="center"/>
    </xf>
    <xf numFmtId="43" fontId="29" fillId="0" borderId="1" xfId="1" applyFont="1" applyBorder="1" applyAlignment="1">
      <alignment horizontal="center"/>
    </xf>
    <xf numFmtId="43" fontId="29" fillId="0" borderId="2" xfId="1" applyFont="1" applyBorder="1" applyAlignment="1">
      <alignment horizontal="left" vertical="center"/>
    </xf>
    <xf numFmtId="43" fontId="34" fillId="0" borderId="0" xfId="1" applyFont="1" applyAlignment="1">
      <alignment horizontal="left" vertical="center" indent="3"/>
    </xf>
    <xf numFmtId="43" fontId="31" fillId="0" borderId="0" xfId="1" applyFont="1" applyAlignment="1">
      <alignment horizontal="left" indent="3"/>
    </xf>
    <xf numFmtId="43" fontId="34" fillId="0" borderId="1" xfId="1" applyFont="1" applyBorder="1" applyAlignment="1">
      <alignment vertical="center"/>
    </xf>
    <xf numFmtId="43" fontId="29" fillId="0" borderId="2" xfId="1" applyFont="1" applyBorder="1"/>
    <xf numFmtId="43" fontId="34" fillId="0" borderId="0" xfId="1" applyFont="1" applyAlignment="1">
      <alignment horizontal="right" vertical="center"/>
    </xf>
    <xf numFmtId="43" fontId="34" fillId="0" borderId="0" xfId="1" applyFont="1" applyAlignment="1">
      <alignment horizontal="left" vertical="center" indent="2"/>
    </xf>
    <xf numFmtId="43" fontId="29" fillId="0" borderId="0" xfId="1" applyFont="1" applyAlignment="1">
      <alignment horizontal="left" vertical="center"/>
    </xf>
    <xf numFmtId="43" fontId="35" fillId="0" borderId="0" xfId="1" applyFont="1" applyAlignment="1"/>
    <xf numFmtId="43" fontId="29" fillId="0" borderId="0" xfId="1" applyFont="1" applyAlignment="1"/>
    <xf numFmtId="43" fontId="37" fillId="0" borderId="0" xfId="1" applyFont="1" applyAlignment="1">
      <alignment vertical="center"/>
    </xf>
    <xf numFmtId="43" fontId="29" fillId="0" borderId="2" xfId="1" applyFont="1" applyBorder="1" applyAlignment="1">
      <alignment horizontal="center"/>
    </xf>
    <xf numFmtId="43" fontId="29" fillId="0" borderId="1" xfId="1" applyFont="1" applyBorder="1" applyAlignment="1">
      <alignment horizontal="left" vertical="center"/>
    </xf>
    <xf numFmtId="43" fontId="29" fillId="0" borderId="1" xfId="1" applyFont="1" applyBorder="1"/>
    <xf numFmtId="43" fontId="29" fillId="0" borderId="0" xfId="1" applyFont="1" applyBorder="1" applyAlignment="1">
      <alignment horizontal="left" vertical="center"/>
    </xf>
    <xf numFmtId="43" fontId="34" fillId="0" borderId="2" xfId="1" applyFont="1" applyBorder="1" applyAlignment="1">
      <alignment vertical="center"/>
    </xf>
    <xf numFmtId="43" fontId="38" fillId="0" borderId="1" xfId="1" applyFont="1" applyBorder="1" applyAlignment="1">
      <alignment horizontal="left" vertical="center"/>
    </xf>
    <xf numFmtId="43" fontId="34" fillId="0" borderId="0" xfId="1" applyFont="1"/>
    <xf numFmtId="43" fontId="36" fillId="0" borderId="2" xfId="1" applyFont="1" applyBorder="1" applyAlignment="1">
      <alignment vertical="center"/>
    </xf>
    <xf numFmtId="43" fontId="34" fillId="0" borderId="0" xfId="1" applyFont="1" applyAlignment="1">
      <alignment horizontal="center"/>
    </xf>
    <xf numFmtId="43" fontId="39" fillId="0" borderId="0" xfId="1" applyFont="1"/>
    <xf numFmtId="43" fontId="40" fillId="0" borderId="0" xfId="1" applyFont="1"/>
    <xf numFmtId="43" fontId="31" fillId="0" borderId="0" xfId="1" applyFont="1" applyAlignment="1">
      <alignment horizontal="center"/>
    </xf>
    <xf numFmtId="43" fontId="41" fillId="0" borderId="0" xfId="1" applyFont="1"/>
    <xf numFmtId="43" fontId="38" fillId="0" borderId="0" xfId="1" applyFont="1" applyBorder="1" applyAlignment="1">
      <alignment vertical="center"/>
    </xf>
    <xf numFmtId="43" fontId="42" fillId="0" borderId="0" xfId="1" applyFont="1"/>
    <xf numFmtId="43" fontId="43" fillId="0" borderId="2" xfId="1" applyFont="1" applyBorder="1" applyAlignment="1">
      <alignment horizontal="right" vertical="center"/>
    </xf>
    <xf numFmtId="43" fontId="29" fillId="0" borderId="0" xfId="1" applyFont="1" applyBorder="1" applyAlignment="1">
      <alignment horizontal="center" vertical="top"/>
    </xf>
    <xf numFmtId="43" fontId="29" fillId="0" borderId="0" xfId="1" applyFont="1" applyBorder="1" applyAlignment="1">
      <alignment horizontal="right"/>
    </xf>
    <xf numFmtId="14" fontId="29" fillId="0" borderId="0" xfId="1" applyNumberFormat="1" applyFont="1" applyBorder="1"/>
    <xf numFmtId="43" fontId="44" fillId="0" borderId="0" xfId="1" applyFont="1" applyAlignment="1">
      <alignment vertical="center"/>
    </xf>
    <xf numFmtId="43" fontId="45" fillId="0" borderId="0" xfId="1" applyFont="1" applyAlignment="1">
      <alignment vertical="center"/>
    </xf>
    <xf numFmtId="4" fontId="38" fillId="0" borderId="0" xfId="0" applyNumberFormat="1" applyFont="1"/>
    <xf numFmtId="0" fontId="38" fillId="0" borderId="0" xfId="0" applyFont="1"/>
    <xf numFmtId="43" fontId="29" fillId="0" borderId="0" xfId="1" applyFont="1" applyAlignment="1">
      <alignment horizontal="left" vertical="center" wrapText="1"/>
    </xf>
    <xf numFmtId="43" fontId="10" fillId="0" borderId="1" xfId="1" applyFont="1" applyBorder="1" applyAlignment="1">
      <alignment vertical="center"/>
    </xf>
    <xf numFmtId="43" fontId="27" fillId="0" borderId="2" xfId="1" applyFont="1" applyBorder="1" applyAlignment="1">
      <alignment horizontal="left"/>
    </xf>
    <xf numFmtId="43" fontId="27" fillId="0" borderId="2" xfId="1" applyFont="1" applyBorder="1"/>
    <xf numFmtId="43" fontId="0" fillId="0" borderId="2" xfId="1" applyFont="1" applyBorder="1" applyAlignment="1">
      <alignment horizontal="center"/>
    </xf>
    <xf numFmtId="43" fontId="10" fillId="0" borderId="0" xfId="1" applyFont="1" applyBorder="1" applyAlignment="1">
      <alignment vertical="center"/>
    </xf>
    <xf numFmtId="43" fontId="17" fillId="0" borderId="0" xfId="1" applyFont="1" applyBorder="1" applyAlignment="1">
      <alignment vertical="center"/>
    </xf>
    <xf numFmtId="43" fontId="6" fillId="0" borderId="0" xfId="1" applyFont="1"/>
    <xf numFmtId="15" fontId="46" fillId="0" borderId="0" xfId="1" quotePrefix="1" applyNumberFormat="1" applyFont="1" applyBorder="1"/>
    <xf numFmtId="15" fontId="0" fillId="0" borderId="0" xfId="1" quotePrefix="1" applyNumberFormat="1" applyFont="1" applyBorder="1"/>
    <xf numFmtId="15" fontId="33" fillId="0" borderId="0" xfId="1" quotePrefix="1" applyNumberFormat="1" applyFont="1" applyBorder="1"/>
    <xf numFmtId="43" fontId="0" fillId="0" borderId="0" xfId="1" quotePrefix="1" applyFont="1" applyBorder="1"/>
    <xf numFmtId="15" fontId="26" fillId="0" borderId="0" xfId="1" quotePrefix="1" applyNumberFormat="1" applyFont="1" applyBorder="1"/>
    <xf numFmtId="43" fontId="48" fillId="0" borderId="0" xfId="1" applyFont="1" applyBorder="1" applyAlignment="1">
      <alignment horizontal="left" indent="7"/>
    </xf>
    <xf numFmtId="43" fontId="49" fillId="0" borderId="0" xfId="1" applyFont="1" applyBorder="1" applyAlignment="1">
      <alignment horizontal="left" indent="7"/>
    </xf>
    <xf numFmtId="43" fontId="52" fillId="0" borderId="0" xfId="1" applyFont="1" applyBorder="1" applyAlignment="1">
      <alignment horizontal="left" indent="7"/>
    </xf>
    <xf numFmtId="43" fontId="53" fillId="0" borderId="0" xfId="1" applyFont="1"/>
    <xf numFmtId="43" fontId="53" fillId="0" borderId="0" xfId="1" applyFont="1" applyAlignment="1">
      <alignment horizontal="left"/>
    </xf>
    <xf numFmtId="43" fontId="55" fillId="0" borderId="1" xfId="1" applyFont="1" applyBorder="1" applyAlignment="1">
      <alignment vertical="center"/>
    </xf>
    <xf numFmtId="43" fontId="56" fillId="0" borderId="0" xfId="1" applyFont="1" applyBorder="1" applyAlignment="1">
      <alignment horizontal="left" indent="7"/>
    </xf>
    <xf numFmtId="43" fontId="1" fillId="0" borderId="0" xfId="1" applyFont="1"/>
    <xf numFmtId="43" fontId="9" fillId="0" borderId="0" xfId="1" applyFont="1" applyAlignment="1">
      <alignment horizontal="center"/>
    </xf>
    <xf numFmtId="43" fontId="0" fillId="0" borderId="0" xfId="1" applyFont="1" applyAlignment="1">
      <alignment horizontal="center"/>
    </xf>
    <xf numFmtId="43" fontId="14" fillId="0" borderId="0" xfId="1" applyFont="1" applyAlignment="1">
      <alignment horizontal="center"/>
    </xf>
    <xf numFmtId="43" fontId="26" fillId="0" borderId="1" xfId="1" applyFont="1" applyBorder="1" applyAlignment="1">
      <alignment horizontal="center"/>
    </xf>
    <xf numFmtId="43" fontId="0" fillId="0" borderId="3" xfId="1" applyFont="1" applyBorder="1" applyAlignment="1">
      <alignment horizontal="center" vertical="top"/>
    </xf>
    <xf numFmtId="43" fontId="3" fillId="0" borderId="0" xfId="1" applyFont="1" applyAlignment="1">
      <alignment horizontal="center"/>
    </xf>
    <xf numFmtId="43" fontId="4" fillId="0" borderId="0" xfId="1" applyFont="1" applyAlignment="1">
      <alignment horizontal="right"/>
    </xf>
    <xf numFmtId="17" fontId="27" fillId="0" borderId="0" xfId="1" applyNumberFormat="1" applyFont="1" applyAlignment="1">
      <alignment horizontal="center"/>
    </xf>
    <xf numFmtId="43" fontId="27" fillId="0" borderId="0" xfId="1" applyFont="1" applyAlignment="1">
      <alignment horizontal="center"/>
    </xf>
    <xf numFmtId="17" fontId="0" fillId="0" borderId="0" xfId="1" applyNumberFormat="1" applyFont="1" applyAlignment="1">
      <alignment horizontal="center"/>
    </xf>
    <xf numFmtId="15" fontId="0" fillId="0" borderId="0" xfId="1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43" fontId="9" fillId="0" borderId="1" xfId="1" applyFont="1" applyBorder="1" applyAlignment="1">
      <alignment horizontal="center"/>
    </xf>
    <xf numFmtId="43" fontId="27" fillId="0" borderId="1" xfId="1" applyFont="1" applyBorder="1" applyAlignment="1">
      <alignment horizontal="center"/>
    </xf>
    <xf numFmtId="17" fontId="2" fillId="0" borderId="0" xfId="1" quotePrefix="1" applyNumberFormat="1" applyFont="1" applyAlignment="1">
      <alignment horizontal="center"/>
    </xf>
    <xf numFmtId="17" fontId="14" fillId="0" borderId="0" xfId="1" quotePrefix="1" applyNumberFormat="1" applyFont="1" applyAlignment="1">
      <alignment horizontal="center"/>
    </xf>
    <xf numFmtId="17" fontId="14" fillId="0" borderId="0" xfId="1" applyNumberFormat="1" applyFont="1" applyAlignment="1">
      <alignment horizontal="center"/>
    </xf>
    <xf numFmtId="43" fontId="30" fillId="0" borderId="0" xfId="1" applyFont="1" applyAlignment="1">
      <alignment horizontal="center"/>
    </xf>
    <xf numFmtId="43" fontId="31" fillId="0" borderId="0" xfId="1" applyFont="1" applyAlignment="1">
      <alignment horizontal="right"/>
    </xf>
    <xf numFmtId="43" fontId="29" fillId="0" borderId="0" xfId="1" applyFont="1" applyAlignment="1">
      <alignment horizontal="center"/>
    </xf>
    <xf numFmtId="17" fontId="29" fillId="0" borderId="0" xfId="1" applyNumberFormat="1" applyFont="1" applyAlignment="1">
      <alignment horizontal="center"/>
    </xf>
    <xf numFmtId="43" fontId="39" fillId="0" borderId="1" xfId="1" applyFont="1" applyBorder="1" applyAlignment="1">
      <alignment horizontal="center"/>
    </xf>
    <xf numFmtId="43" fontId="31" fillId="0" borderId="0" xfId="1" applyFont="1" applyAlignment="1">
      <alignment horizontal="center"/>
    </xf>
    <xf numFmtId="43" fontId="39" fillId="0" borderId="0" xfId="1" applyFont="1" applyBorder="1" applyAlignment="1">
      <alignment horizontal="center"/>
    </xf>
    <xf numFmtId="43" fontId="29" fillId="0" borderId="0" xfId="1" applyFont="1" applyBorder="1" applyAlignment="1">
      <alignment horizontal="left" vertical="top"/>
    </xf>
    <xf numFmtId="43" fontId="14" fillId="0" borderId="0" xfId="1" quotePrefix="1" applyFont="1" applyAlignment="1">
      <alignment horizontal="center"/>
    </xf>
    <xf numFmtId="43" fontId="27" fillId="0" borderId="0" xfId="1" quotePrefix="1" applyFont="1" applyAlignment="1">
      <alignment horizontal="center"/>
    </xf>
    <xf numFmtId="43" fontId="0" fillId="0" borderId="1" xfId="1" applyFont="1" applyBorder="1" applyAlignment="1">
      <alignment horizontal="center"/>
    </xf>
    <xf numFmtId="43" fontId="54" fillId="0" borderId="0" xfId="1" applyFont="1" applyBorder="1" applyAlignment="1">
      <alignment horizontal="center" vertical="center"/>
    </xf>
    <xf numFmtId="43" fontId="26" fillId="0" borderId="0" xfId="1" applyFont="1" applyBorder="1" applyAlignment="1">
      <alignment horizontal="center"/>
    </xf>
    <xf numFmtId="43" fontId="0" fillId="0" borderId="0" xfId="1" applyFont="1" applyBorder="1" applyAlignment="1">
      <alignment horizontal="center" vertical="top"/>
    </xf>
    <xf numFmtId="17" fontId="0" fillId="0" borderId="0" xfId="1" quotePrefix="1" applyNumberFormat="1" applyFont="1" applyAlignment="1">
      <alignment horizontal="center"/>
    </xf>
    <xf numFmtId="43" fontId="0" fillId="0" borderId="0" xfId="1" quotePrefix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checked="Checked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checked="Checked" noThreeD="1"/>
</file>

<file path=xl/ctrlProps/ctrlProp55.xml><?xml version="1.0" encoding="utf-8"?>
<formControlPr xmlns="http://schemas.microsoft.com/office/spreadsheetml/2009/9/main" objectType="CheckBox" checked="Checked" noThreeD="1"/>
</file>

<file path=xl/ctrlProps/ctrlProp56.xml><?xml version="1.0" encoding="utf-8"?>
<formControlPr xmlns="http://schemas.microsoft.com/office/spreadsheetml/2009/9/main" objectType="CheckBox" checked="Checked" noThreeD="1"/>
</file>

<file path=xl/ctrlProps/ctrlProp57.xml><?xml version="1.0" encoding="utf-8"?>
<formControlPr xmlns="http://schemas.microsoft.com/office/spreadsheetml/2009/9/main" objectType="CheckBox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noThreeD="1"/>
</file>

<file path=xl/ctrlProps/ctrlProp62.xml><?xml version="1.0" encoding="utf-8"?>
<formControlPr xmlns="http://schemas.microsoft.com/office/spreadsheetml/2009/9/main" objectType="CheckBox" noThreeD="1"/>
</file>

<file path=xl/ctrlProps/ctrlProp63.xml><?xml version="1.0" encoding="utf-8"?>
<formControlPr xmlns="http://schemas.microsoft.com/office/spreadsheetml/2009/9/main" objectType="CheckBox" noThreeD="1"/>
</file>

<file path=xl/ctrlProps/ctrlProp64.xml><?xml version="1.0" encoding="utf-8"?>
<formControlPr xmlns="http://schemas.microsoft.com/office/spreadsheetml/2009/9/main" objectType="CheckBox" noThreeD="1"/>
</file>

<file path=xl/ctrlProps/ctrlProp65.xml><?xml version="1.0" encoding="utf-8"?>
<formControlPr xmlns="http://schemas.microsoft.com/office/spreadsheetml/2009/9/main" objectType="CheckBox" noThreeD="1"/>
</file>

<file path=xl/ctrlProps/ctrlProp66.xml><?xml version="1.0" encoding="utf-8"?>
<formControlPr xmlns="http://schemas.microsoft.com/office/spreadsheetml/2009/9/main" objectType="CheckBox" noThreeD="1"/>
</file>

<file path=xl/ctrlProps/ctrlProp67.xml><?xml version="1.0" encoding="utf-8"?>
<formControlPr xmlns="http://schemas.microsoft.com/office/spreadsheetml/2009/9/main" objectType="CheckBox" noThreeD="1"/>
</file>

<file path=xl/ctrlProps/ctrlProp68.xml><?xml version="1.0" encoding="utf-8"?>
<formControlPr xmlns="http://schemas.microsoft.com/office/spreadsheetml/2009/9/main" objectType="CheckBox" noThreeD="1"/>
</file>

<file path=xl/ctrlProps/ctrlProp69.xml><?xml version="1.0" encoding="utf-8"?>
<formControlPr xmlns="http://schemas.microsoft.com/office/spreadsheetml/2009/9/main" objectType="CheckBox" noThreeD="1"/>
</file>

<file path=xl/ctrlProps/ctrlProp70.xml><?xml version="1.0" encoding="utf-8"?>
<formControlPr xmlns="http://schemas.microsoft.com/office/spreadsheetml/2009/9/main" objectType="CheckBox" noThreeD="1"/>
</file>

<file path=xl/ctrlProps/ctrlProp71.xml><?xml version="1.0" encoding="utf-8"?>
<formControlPr xmlns="http://schemas.microsoft.com/office/spreadsheetml/2009/9/main" objectType="CheckBox" noThreeD="1"/>
</file>

<file path=xl/ctrlProps/ctrlProp72.xml><?xml version="1.0" encoding="utf-8"?>
<formControlPr xmlns="http://schemas.microsoft.com/office/spreadsheetml/2009/9/main" objectType="CheckBox" noThreeD="1"/>
</file>

<file path=xl/ctrlProps/ctrlProp73.xml><?xml version="1.0" encoding="utf-8"?>
<formControlPr xmlns="http://schemas.microsoft.com/office/spreadsheetml/2009/9/main" objectType="CheckBox" noThreeD="1"/>
</file>

<file path=xl/ctrlProps/ctrlProp74.xml><?xml version="1.0" encoding="utf-8"?>
<formControlPr xmlns="http://schemas.microsoft.com/office/spreadsheetml/2009/9/main" objectType="CheckBox" noThreeD="1"/>
</file>

<file path=xl/ctrlProps/ctrlProp75.xml><?xml version="1.0" encoding="utf-8"?>
<formControlPr xmlns="http://schemas.microsoft.com/office/spreadsheetml/2009/9/main" objectType="CheckBox" noThreeD="1"/>
</file>

<file path=xl/ctrlProps/ctrlProp76.xml><?xml version="1.0" encoding="utf-8"?>
<formControlPr xmlns="http://schemas.microsoft.com/office/spreadsheetml/2009/9/main" objectType="CheckBox" noThreeD="1"/>
</file>

<file path=xl/ctrlProps/ctrlProp77.xml><?xml version="1.0" encoding="utf-8"?>
<formControlPr xmlns="http://schemas.microsoft.com/office/spreadsheetml/2009/9/main" objectType="CheckBox" noThreeD="1"/>
</file>

<file path=xl/ctrlProps/ctrlProp78.xml><?xml version="1.0" encoding="utf-8"?>
<formControlPr xmlns="http://schemas.microsoft.com/office/spreadsheetml/2009/9/main" objectType="CheckBox" noThreeD="1"/>
</file>

<file path=xl/ctrlProps/ctrlProp79.xml><?xml version="1.0" encoding="utf-8"?>
<formControlPr xmlns="http://schemas.microsoft.com/office/spreadsheetml/2009/9/main" objectType="CheckBox" noThreeD="1"/>
</file>

<file path=xl/ctrlProps/ctrlProp80.xml><?xml version="1.0" encoding="utf-8"?>
<formControlPr xmlns="http://schemas.microsoft.com/office/spreadsheetml/2009/9/main" objectType="CheckBox" noThreeD="1"/>
</file>

<file path=xl/ctrlProps/ctrlProp81.xml><?xml version="1.0" encoding="utf-8"?>
<formControlPr xmlns="http://schemas.microsoft.com/office/spreadsheetml/2009/9/main" objectType="CheckBox" noThreeD="1"/>
</file>

<file path=xl/ctrlProps/ctrlProp82.xml><?xml version="1.0" encoding="utf-8"?>
<formControlPr xmlns="http://schemas.microsoft.com/office/spreadsheetml/2009/9/main" objectType="CheckBox" noThreeD="1"/>
</file>

<file path=xl/ctrlProps/ctrlProp83.xml><?xml version="1.0" encoding="utf-8"?>
<formControlPr xmlns="http://schemas.microsoft.com/office/spreadsheetml/2009/9/main" objectType="CheckBox" noThreeD="1"/>
</file>

<file path=xl/ctrlProps/ctrlProp84.xml><?xml version="1.0" encoding="utf-8"?>
<formControlPr xmlns="http://schemas.microsoft.com/office/spreadsheetml/2009/9/main" objectType="CheckBox" noThreeD="1"/>
</file>

<file path=xl/ctrlProps/ctrlProp85.xml><?xml version="1.0" encoding="utf-8"?>
<formControlPr xmlns="http://schemas.microsoft.com/office/spreadsheetml/2009/9/main" objectType="CheckBox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checked="Checked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noThreeD="1"/>
</file>

<file path=xl/ctrlProps/ctrlProp112.xml><?xml version="1.0" encoding="utf-8"?>
<formControlPr xmlns="http://schemas.microsoft.com/office/spreadsheetml/2009/9/main" objectType="CheckBox" noThreeD="1"/>
</file>

<file path=xl/ctrlProps/ctrlProp113.xml><?xml version="1.0" encoding="utf-8"?>
<formControlPr xmlns="http://schemas.microsoft.com/office/spreadsheetml/2009/9/main" objectType="CheckBox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checked="Checked" noThreeD="1"/>
</file>

<file path=xl/ctrlProps/ctrlProp122.xml><?xml version="1.0" encoding="utf-8"?>
<formControlPr xmlns="http://schemas.microsoft.com/office/spreadsheetml/2009/9/main" objectType="CheckBox" noThreeD="1"/>
</file>

<file path=xl/ctrlProps/ctrlProp123.xml><?xml version="1.0" encoding="utf-8"?>
<formControlPr xmlns="http://schemas.microsoft.com/office/spreadsheetml/2009/9/main" objectType="CheckBox" noThreeD="1"/>
</file>

<file path=xl/ctrlProps/ctrlProp124.xml><?xml version="1.0" encoding="utf-8"?>
<formControlPr xmlns="http://schemas.microsoft.com/office/spreadsheetml/2009/9/main" objectType="CheckBox" noThreeD="1"/>
</file>

<file path=xl/ctrlProps/ctrlProp125.xml><?xml version="1.0" encoding="utf-8"?>
<formControlPr xmlns="http://schemas.microsoft.com/office/spreadsheetml/2009/9/main" objectType="CheckBox" noThreeD="1"/>
</file>

<file path=xl/ctrlProps/ctrlProp126.xml><?xml version="1.0" encoding="utf-8"?>
<formControlPr xmlns="http://schemas.microsoft.com/office/spreadsheetml/2009/9/main" objectType="CheckBox" noThreeD="1"/>
</file>

<file path=xl/ctrlProps/ctrlProp127.xml><?xml version="1.0" encoding="utf-8"?>
<formControlPr xmlns="http://schemas.microsoft.com/office/spreadsheetml/2009/9/main" objectType="CheckBox" noThreeD="1"/>
</file>

<file path=xl/ctrlProps/ctrlProp128.xml><?xml version="1.0" encoding="utf-8"?>
<formControlPr xmlns="http://schemas.microsoft.com/office/spreadsheetml/2009/9/main" objectType="CheckBox" noThreeD="1"/>
</file>

<file path=xl/ctrlProps/ctrlProp129.xml><?xml version="1.0" encoding="utf-8"?>
<formControlPr xmlns="http://schemas.microsoft.com/office/spreadsheetml/2009/9/main" objectType="CheckBox" noThreeD="1"/>
</file>

<file path=xl/ctrlProps/ctrlProp130.xml><?xml version="1.0" encoding="utf-8"?>
<formControlPr xmlns="http://schemas.microsoft.com/office/spreadsheetml/2009/9/main" objectType="CheckBox" noThreeD="1"/>
</file>

<file path=xl/ctrlProps/ctrlProp131.xml><?xml version="1.0" encoding="utf-8"?>
<formControlPr xmlns="http://schemas.microsoft.com/office/spreadsheetml/2009/9/main" objectType="CheckBox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checked="Checked" noThreeD="1"/>
</file>

<file path=xl/ctrlProps/ctrlProp140.xml><?xml version="1.0" encoding="utf-8"?>
<formControlPr xmlns="http://schemas.microsoft.com/office/spreadsheetml/2009/9/main" objectType="CheckBox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noThreeD="1"/>
</file>

<file path=xl/ctrlProps/ctrlProp146.xml><?xml version="1.0" encoding="utf-8"?>
<formControlPr xmlns="http://schemas.microsoft.com/office/spreadsheetml/2009/9/main" objectType="CheckBox" checked="Checked" noThreeD="1"/>
</file>

<file path=xl/ctrlProps/ctrlProp147.xml><?xml version="1.0" encoding="utf-8"?>
<formControlPr xmlns="http://schemas.microsoft.com/office/spreadsheetml/2009/9/main" objectType="CheckBox" checked="Checked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checked="Checked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ctrlProps/ctrlProp163.xml><?xml version="1.0" encoding="utf-8"?>
<formControlPr xmlns="http://schemas.microsoft.com/office/spreadsheetml/2009/9/main" objectType="CheckBox" noThreeD="1"/>
</file>

<file path=xl/ctrlProps/ctrlProp164.xml><?xml version="1.0" encoding="utf-8"?>
<formControlPr xmlns="http://schemas.microsoft.com/office/spreadsheetml/2009/9/main" objectType="CheckBox" noThreeD="1"/>
</file>

<file path=xl/ctrlProps/ctrlProp165.xml><?xml version="1.0" encoding="utf-8"?>
<formControlPr xmlns="http://schemas.microsoft.com/office/spreadsheetml/2009/9/main" objectType="CheckBox" noThreeD="1"/>
</file>

<file path=xl/ctrlProps/ctrlProp166.xml><?xml version="1.0" encoding="utf-8"?>
<formControlPr xmlns="http://schemas.microsoft.com/office/spreadsheetml/2009/9/main" objectType="CheckBox" noThreeD="1"/>
</file>

<file path=xl/ctrlProps/ctrlProp167.xml><?xml version="1.0" encoding="utf-8"?>
<formControlPr xmlns="http://schemas.microsoft.com/office/spreadsheetml/2009/9/main" objectType="CheckBox" noThreeD="1"/>
</file>

<file path=xl/ctrlProps/ctrlProp168.xml><?xml version="1.0" encoding="utf-8"?>
<formControlPr xmlns="http://schemas.microsoft.com/office/spreadsheetml/2009/9/main" objectType="CheckBox" noThreeD="1"/>
</file>

<file path=xl/ctrlProps/ctrlProp169.xml><?xml version="1.0" encoding="utf-8"?>
<formControlPr xmlns="http://schemas.microsoft.com/office/spreadsheetml/2009/9/main" objectType="CheckBox" noThreeD="1"/>
</file>

<file path=xl/ctrlProps/ctrlProp170.xml><?xml version="1.0" encoding="utf-8"?>
<formControlPr xmlns="http://schemas.microsoft.com/office/spreadsheetml/2009/9/main" objectType="CheckBox" noThreeD="1"/>
</file>

<file path=xl/ctrlProps/ctrlProp171.xml><?xml version="1.0" encoding="utf-8"?>
<formControlPr xmlns="http://schemas.microsoft.com/office/spreadsheetml/2009/9/main" objectType="CheckBox" noThreeD="1"/>
</file>

<file path=xl/ctrlProps/ctrlProp172.xml><?xml version="1.0" encoding="utf-8"?>
<formControlPr xmlns="http://schemas.microsoft.com/office/spreadsheetml/2009/9/main" objectType="CheckBox" noThreeD="1"/>
</file>

<file path=xl/ctrlProps/ctrlProp173.xml><?xml version="1.0" encoding="utf-8"?>
<formControlPr xmlns="http://schemas.microsoft.com/office/spreadsheetml/2009/9/main" objectType="CheckBox" checked="Checked" noThreeD="1"/>
</file>

<file path=xl/ctrlProps/ctrlProp174.xml><?xml version="1.0" encoding="utf-8"?>
<formControlPr xmlns="http://schemas.microsoft.com/office/spreadsheetml/2009/9/main" objectType="CheckBox" noThreeD="1"/>
</file>

<file path=xl/ctrlProps/ctrlProp175.xml><?xml version="1.0" encoding="utf-8"?>
<formControlPr xmlns="http://schemas.microsoft.com/office/spreadsheetml/2009/9/main" objectType="CheckBox" noThreeD="1"/>
</file>

<file path=xl/ctrlProps/ctrlProp176.xml><?xml version="1.0" encoding="utf-8"?>
<formControlPr xmlns="http://schemas.microsoft.com/office/spreadsheetml/2009/9/main" objectType="CheckBox" noThreeD="1"/>
</file>

<file path=xl/ctrlProps/ctrlProp177.xml><?xml version="1.0" encoding="utf-8"?>
<formControlPr xmlns="http://schemas.microsoft.com/office/spreadsheetml/2009/9/main" objectType="CheckBox" noThreeD="1"/>
</file>

<file path=xl/ctrlProps/ctrlProp178.xml><?xml version="1.0" encoding="utf-8"?>
<formControlPr xmlns="http://schemas.microsoft.com/office/spreadsheetml/2009/9/main" objectType="CheckBox" noThreeD="1"/>
</file>

<file path=xl/ctrlProps/ctrlProp179.xml><?xml version="1.0" encoding="utf-8"?>
<formControlPr xmlns="http://schemas.microsoft.com/office/spreadsheetml/2009/9/main" objectType="CheckBox" noThreeD="1"/>
</file>

<file path=xl/ctrlProps/ctrlProp180.xml><?xml version="1.0" encoding="utf-8"?>
<formControlPr xmlns="http://schemas.microsoft.com/office/spreadsheetml/2009/9/main" objectType="CheckBox" noThreeD="1"/>
</file>

<file path=xl/ctrlProps/ctrlProp181.xml><?xml version="1.0" encoding="utf-8"?>
<formControlPr xmlns="http://schemas.microsoft.com/office/spreadsheetml/2009/9/main" objectType="CheckBox" noThreeD="1"/>
</file>

<file path=xl/ctrlProps/ctrlProp182.xml><?xml version="1.0" encoding="utf-8"?>
<formControlPr xmlns="http://schemas.microsoft.com/office/spreadsheetml/2009/9/main" objectType="CheckBox" noThreeD="1"/>
</file>

<file path=xl/ctrlProps/ctrlProp183.xml><?xml version="1.0" encoding="utf-8"?>
<formControlPr xmlns="http://schemas.microsoft.com/office/spreadsheetml/2009/9/main" objectType="CheckBox" checked="Checked" noThreeD="1"/>
</file>

<file path=xl/ctrlProps/ctrlProp184.xml><?xml version="1.0" encoding="utf-8"?>
<formControlPr xmlns="http://schemas.microsoft.com/office/spreadsheetml/2009/9/main" objectType="CheckBox" noThreeD="1"/>
</file>

<file path=xl/ctrlProps/ctrlProp185.xml><?xml version="1.0" encoding="utf-8"?>
<formControlPr xmlns="http://schemas.microsoft.com/office/spreadsheetml/2009/9/main" objectType="CheckBox" noThreeD="1"/>
</file>

<file path=xl/ctrlProps/ctrlProp186.xml><?xml version="1.0" encoding="utf-8"?>
<formControlPr xmlns="http://schemas.microsoft.com/office/spreadsheetml/2009/9/main" objectType="CheckBox" noThreeD="1"/>
</file>

<file path=xl/ctrlProps/ctrlProp187.xml><?xml version="1.0" encoding="utf-8"?>
<formControlPr xmlns="http://schemas.microsoft.com/office/spreadsheetml/2009/9/main" objectType="CheckBox" noThreeD="1"/>
</file>

<file path=xl/ctrlProps/ctrlProp188.xml><?xml version="1.0" encoding="utf-8"?>
<formControlPr xmlns="http://schemas.microsoft.com/office/spreadsheetml/2009/9/main" objectType="CheckBox" noThreeD="1"/>
</file>

<file path=xl/ctrlProps/ctrlProp189.xml><?xml version="1.0" encoding="utf-8"?>
<formControlPr xmlns="http://schemas.microsoft.com/office/spreadsheetml/2009/9/main" objectType="CheckBox" noThreeD="1"/>
</file>

<file path=xl/ctrlProps/ctrlProp190.xml><?xml version="1.0" encoding="utf-8"?>
<formControlPr xmlns="http://schemas.microsoft.com/office/spreadsheetml/2009/9/main" objectType="CheckBox" noThreeD="1"/>
</file>

<file path=xl/ctrlProps/ctrlProp191.xml><?xml version="1.0" encoding="utf-8"?>
<formControlPr xmlns="http://schemas.microsoft.com/office/spreadsheetml/2009/9/main" objectType="CheckBox" noThreeD="1"/>
</file>

<file path=xl/ctrlProps/ctrlProp192.xml><?xml version="1.0" encoding="utf-8"?>
<formControlPr xmlns="http://schemas.microsoft.com/office/spreadsheetml/2009/9/main" objectType="CheckBox" noThreeD="1"/>
</file>

<file path=xl/ctrlProps/ctrlProp193.xml><?xml version="1.0" encoding="utf-8"?>
<formControlPr xmlns="http://schemas.microsoft.com/office/spreadsheetml/2009/9/main" objectType="CheckBox" noThreeD="1"/>
</file>

<file path=xl/ctrlProps/ctrlProp194.xml><?xml version="1.0" encoding="utf-8"?>
<formControlPr xmlns="http://schemas.microsoft.com/office/spreadsheetml/2009/9/main" objectType="CheckBox" noThreeD="1"/>
</file>

<file path=xl/ctrlProps/ctrlProp195.xml><?xml version="1.0" encoding="utf-8"?>
<formControlPr xmlns="http://schemas.microsoft.com/office/spreadsheetml/2009/9/main" objectType="CheckBox" noThreeD="1"/>
</file>

<file path=xl/ctrlProps/ctrlProp196.xml><?xml version="1.0" encoding="utf-8"?>
<formControlPr xmlns="http://schemas.microsoft.com/office/spreadsheetml/2009/9/main" objectType="CheckBox" checked="Checked" noThreeD="1"/>
</file>

<file path=xl/ctrlProps/ctrlProp197.xml><?xml version="1.0" encoding="utf-8"?>
<formControlPr xmlns="http://schemas.microsoft.com/office/spreadsheetml/2009/9/main" objectType="CheckBox" noThreeD="1"/>
</file>

<file path=xl/ctrlProps/ctrlProp198.xml><?xml version="1.0" encoding="utf-8"?>
<formControlPr xmlns="http://schemas.microsoft.com/office/spreadsheetml/2009/9/main" objectType="CheckBox" checked="Checked" noThreeD="1"/>
</file>

<file path=xl/ctrlProps/ctrlProp199.xml><?xml version="1.0" encoding="utf-8"?>
<formControlPr xmlns="http://schemas.microsoft.com/office/spreadsheetml/2009/9/main" objectType="CheckBox" checked="Checked" noThreeD="1"/>
</file>

<file path=xl/ctrlProps/ctrlProp200.xml><?xml version="1.0" encoding="utf-8"?>
<formControlPr xmlns="http://schemas.microsoft.com/office/spreadsheetml/2009/9/main" objectType="CheckBox" noThreeD="1"/>
</file>

<file path=xl/ctrlProps/ctrlProp201.xml><?xml version="1.0" encoding="utf-8"?>
<formControlPr xmlns="http://schemas.microsoft.com/office/spreadsheetml/2009/9/main" objectType="CheckBox" noThreeD="1"/>
</file>

<file path=xl/ctrlProps/ctrlProp202.xml><?xml version="1.0" encoding="utf-8"?>
<formControlPr xmlns="http://schemas.microsoft.com/office/spreadsheetml/2009/9/main" objectType="CheckBox" noThreeD="1"/>
</file>

<file path=xl/ctrlProps/ctrlProp203.xml><?xml version="1.0" encoding="utf-8"?>
<formControlPr xmlns="http://schemas.microsoft.com/office/spreadsheetml/2009/9/main" objectType="CheckBox" noThreeD="1"/>
</file>

<file path=xl/ctrlProps/ctrlProp204.xml><?xml version="1.0" encoding="utf-8"?>
<formControlPr xmlns="http://schemas.microsoft.com/office/spreadsheetml/2009/9/main" objectType="CheckBox" noThreeD="1"/>
</file>

<file path=xl/ctrlProps/ctrlProp205.xml><?xml version="1.0" encoding="utf-8"?>
<formControlPr xmlns="http://schemas.microsoft.com/office/spreadsheetml/2009/9/main" objectType="CheckBox" noThreeD="1"/>
</file>

<file path=xl/ctrlProps/ctrlProp206.xml><?xml version="1.0" encoding="utf-8"?>
<formControlPr xmlns="http://schemas.microsoft.com/office/spreadsheetml/2009/9/main" objectType="CheckBox" noThreeD="1"/>
</file>

<file path=xl/ctrlProps/ctrlProp207.xml><?xml version="1.0" encoding="utf-8"?>
<formControlPr xmlns="http://schemas.microsoft.com/office/spreadsheetml/2009/9/main" objectType="CheckBox" noThreeD="1"/>
</file>

<file path=xl/ctrlProps/ctrlProp208.xml><?xml version="1.0" encoding="utf-8"?>
<formControlPr xmlns="http://schemas.microsoft.com/office/spreadsheetml/2009/9/main" objectType="CheckBox" noThreeD="1"/>
</file>

<file path=xl/ctrlProps/ctrlProp209.xml><?xml version="1.0" encoding="utf-8"?>
<formControlPr xmlns="http://schemas.microsoft.com/office/spreadsheetml/2009/9/main" objectType="CheckBox" noThreeD="1"/>
</file>

<file path=xl/ctrlProps/ctrlProp210.xml><?xml version="1.0" encoding="utf-8"?>
<formControlPr xmlns="http://schemas.microsoft.com/office/spreadsheetml/2009/9/main" objectType="CheckBox" checked="Checked" noThreeD="1"/>
</file>

<file path=xl/ctrlProps/ctrlProp211.xml><?xml version="1.0" encoding="utf-8"?>
<formControlPr xmlns="http://schemas.microsoft.com/office/spreadsheetml/2009/9/main" objectType="CheckBox" noThreeD="1"/>
</file>

<file path=xl/ctrlProps/ctrlProp212.xml><?xml version="1.0" encoding="utf-8"?>
<formControlPr xmlns="http://schemas.microsoft.com/office/spreadsheetml/2009/9/main" objectType="CheckBox" noThreeD="1"/>
</file>

<file path=xl/ctrlProps/ctrlProp213.xml><?xml version="1.0" encoding="utf-8"?>
<formControlPr xmlns="http://schemas.microsoft.com/office/spreadsheetml/2009/9/main" objectType="CheckBox" noThreeD="1"/>
</file>

<file path=xl/ctrlProps/ctrlProp214.xml><?xml version="1.0" encoding="utf-8"?>
<formControlPr xmlns="http://schemas.microsoft.com/office/spreadsheetml/2009/9/main" objectType="CheckBox" noThreeD="1"/>
</file>

<file path=xl/ctrlProps/ctrlProp215.xml><?xml version="1.0" encoding="utf-8"?>
<formControlPr xmlns="http://schemas.microsoft.com/office/spreadsheetml/2009/9/main" objectType="CheckBox" noThreeD="1"/>
</file>

<file path=xl/ctrlProps/ctrlProp216.xml><?xml version="1.0" encoding="utf-8"?>
<formControlPr xmlns="http://schemas.microsoft.com/office/spreadsheetml/2009/9/main" objectType="CheckBox" noThreeD="1"/>
</file>

<file path=xl/ctrlProps/ctrlProp217.xml><?xml version="1.0" encoding="utf-8"?>
<formControlPr xmlns="http://schemas.microsoft.com/office/spreadsheetml/2009/9/main" objectType="CheckBox" noThreeD="1"/>
</file>

<file path=xl/ctrlProps/ctrlProp218.xml><?xml version="1.0" encoding="utf-8"?>
<formControlPr xmlns="http://schemas.microsoft.com/office/spreadsheetml/2009/9/main" objectType="CheckBox" noThreeD="1"/>
</file>

<file path=xl/ctrlProps/ctrlProp219.xml><?xml version="1.0" encoding="utf-8"?>
<formControlPr xmlns="http://schemas.microsoft.com/office/spreadsheetml/2009/9/main" objectType="CheckBox" noThreeD="1"/>
</file>

<file path=xl/ctrlProps/ctrlProp220.xml><?xml version="1.0" encoding="utf-8"?>
<formControlPr xmlns="http://schemas.microsoft.com/office/spreadsheetml/2009/9/main" objectType="CheckBox" noThreeD="1"/>
</file>

<file path=xl/ctrlProps/ctrlProp221.xml><?xml version="1.0" encoding="utf-8"?>
<formControlPr xmlns="http://schemas.microsoft.com/office/spreadsheetml/2009/9/main" objectType="CheckBox" noThreeD="1"/>
</file>

<file path=xl/ctrlProps/ctrlProp222.xml><?xml version="1.0" encoding="utf-8"?>
<formControlPr xmlns="http://schemas.microsoft.com/office/spreadsheetml/2009/9/main" objectType="CheckBox" noThreeD="1"/>
</file>

<file path=xl/ctrlProps/ctrlProp223.xml><?xml version="1.0" encoding="utf-8"?>
<formControlPr xmlns="http://schemas.microsoft.com/office/spreadsheetml/2009/9/main" objectType="CheckBox" noThreeD="1"/>
</file>

<file path=xl/ctrlProps/ctrlProp224.xml><?xml version="1.0" encoding="utf-8"?>
<formControlPr xmlns="http://schemas.microsoft.com/office/spreadsheetml/2009/9/main" objectType="CheckBox" checked="Checked" noThreeD="1"/>
</file>

<file path=xl/ctrlProps/ctrlProp225.xml><?xml version="1.0" encoding="utf-8"?>
<formControlPr xmlns="http://schemas.microsoft.com/office/spreadsheetml/2009/9/main" objectType="CheckBox" noThreeD="1"/>
</file>

<file path=xl/ctrlProps/ctrlProp226.xml><?xml version="1.0" encoding="utf-8"?>
<formControlPr xmlns="http://schemas.microsoft.com/office/spreadsheetml/2009/9/main" objectType="CheckBox" noThreeD="1"/>
</file>

<file path=xl/ctrlProps/ctrlProp227.xml><?xml version="1.0" encoding="utf-8"?>
<formControlPr xmlns="http://schemas.microsoft.com/office/spreadsheetml/2009/9/main" objectType="CheckBox" noThreeD="1"/>
</file>

<file path=xl/ctrlProps/ctrlProp228.xml><?xml version="1.0" encoding="utf-8"?>
<formControlPr xmlns="http://schemas.microsoft.com/office/spreadsheetml/2009/9/main" objectType="CheckBox" noThreeD="1"/>
</file>

<file path=xl/ctrlProps/ctrlProp229.xml><?xml version="1.0" encoding="utf-8"?>
<formControlPr xmlns="http://schemas.microsoft.com/office/spreadsheetml/2009/9/main" objectType="CheckBox" noThreeD="1"/>
</file>

<file path=xl/ctrlProps/ctrlProp230.xml><?xml version="1.0" encoding="utf-8"?>
<formControlPr xmlns="http://schemas.microsoft.com/office/spreadsheetml/2009/9/main" objectType="CheckBox" noThreeD="1"/>
</file>

<file path=xl/ctrlProps/ctrlProp231.xml><?xml version="1.0" encoding="utf-8"?>
<formControlPr xmlns="http://schemas.microsoft.com/office/spreadsheetml/2009/9/main" objectType="CheckBox" noThreeD="1"/>
</file>

<file path=xl/ctrlProps/ctrlProp232.xml><?xml version="1.0" encoding="utf-8"?>
<formControlPr xmlns="http://schemas.microsoft.com/office/spreadsheetml/2009/9/main" objectType="CheckBox" noThreeD="1"/>
</file>

<file path=xl/ctrlProps/ctrlProp233.xml><?xml version="1.0" encoding="utf-8"?>
<formControlPr xmlns="http://schemas.microsoft.com/office/spreadsheetml/2009/9/main" objectType="CheckBox" noThreeD="1"/>
</file>

<file path=xl/ctrlProps/ctrlProp234.xml><?xml version="1.0" encoding="utf-8"?>
<formControlPr xmlns="http://schemas.microsoft.com/office/spreadsheetml/2009/9/main" objectType="CheckBox" noThreeD="1"/>
</file>

<file path=xl/ctrlProps/ctrlProp235.xml><?xml version="1.0" encoding="utf-8"?>
<formControlPr xmlns="http://schemas.microsoft.com/office/spreadsheetml/2009/9/main" objectType="CheckBox" noThreeD="1"/>
</file>

<file path=xl/ctrlProps/ctrlProp236.xml><?xml version="1.0" encoding="utf-8"?>
<formControlPr xmlns="http://schemas.microsoft.com/office/spreadsheetml/2009/9/main" objectType="CheckBox" noThreeD="1"/>
</file>

<file path=xl/ctrlProps/ctrlProp237.xml><?xml version="1.0" encoding="utf-8"?>
<formControlPr xmlns="http://schemas.microsoft.com/office/spreadsheetml/2009/9/main" objectType="CheckBox" noThreeD="1"/>
</file>

<file path=xl/ctrlProps/ctrlProp238.xml><?xml version="1.0" encoding="utf-8"?>
<formControlPr xmlns="http://schemas.microsoft.com/office/spreadsheetml/2009/9/main" objectType="CheckBox" noThreeD="1"/>
</file>

<file path=xl/ctrlProps/ctrlProp239.xml><?xml version="1.0" encoding="utf-8"?>
<formControlPr xmlns="http://schemas.microsoft.com/office/spreadsheetml/2009/9/main" objectType="CheckBox" noThreeD="1"/>
</file>

<file path=xl/ctrlProps/ctrlProp240.xml><?xml version="1.0" encoding="utf-8"?>
<formControlPr xmlns="http://schemas.microsoft.com/office/spreadsheetml/2009/9/main" objectType="CheckBox" noThreeD="1"/>
</file>

<file path=xl/ctrlProps/ctrlProp241.xml><?xml version="1.0" encoding="utf-8"?>
<formControlPr xmlns="http://schemas.microsoft.com/office/spreadsheetml/2009/9/main" objectType="CheckBox" noThreeD="1"/>
</file>

<file path=xl/ctrlProps/ctrlProp242.xml><?xml version="1.0" encoding="utf-8"?>
<formControlPr xmlns="http://schemas.microsoft.com/office/spreadsheetml/2009/9/main" objectType="CheckBox" noThreeD="1"/>
</file>

<file path=xl/ctrlProps/ctrlProp243.xml><?xml version="1.0" encoding="utf-8"?>
<formControlPr xmlns="http://schemas.microsoft.com/office/spreadsheetml/2009/9/main" objectType="CheckBox" noThreeD="1"/>
</file>

<file path=xl/ctrlProps/ctrlProp244.xml><?xml version="1.0" encoding="utf-8"?>
<formControlPr xmlns="http://schemas.microsoft.com/office/spreadsheetml/2009/9/main" objectType="CheckBox" noThreeD="1"/>
</file>

<file path=xl/ctrlProps/ctrlProp245.xml><?xml version="1.0" encoding="utf-8"?>
<formControlPr xmlns="http://schemas.microsoft.com/office/spreadsheetml/2009/9/main" objectType="CheckBox" noThreeD="1"/>
</file>

<file path=xl/ctrlProps/ctrlProp246.xml><?xml version="1.0" encoding="utf-8"?>
<formControlPr xmlns="http://schemas.microsoft.com/office/spreadsheetml/2009/9/main" objectType="CheckBox" noThreeD="1"/>
</file>

<file path=xl/ctrlProps/ctrlProp247.xml><?xml version="1.0" encoding="utf-8"?>
<formControlPr xmlns="http://schemas.microsoft.com/office/spreadsheetml/2009/9/main" objectType="CheckBox" noThreeD="1"/>
</file>

<file path=xl/ctrlProps/ctrlProp248.xml><?xml version="1.0" encoding="utf-8"?>
<formControlPr xmlns="http://schemas.microsoft.com/office/spreadsheetml/2009/9/main" objectType="CheckBox" noThreeD="1"/>
</file>

<file path=xl/ctrlProps/ctrlProp249.xml><?xml version="1.0" encoding="utf-8"?>
<formControlPr xmlns="http://schemas.microsoft.com/office/spreadsheetml/2009/9/main" objectType="CheckBox" noThreeD="1"/>
</file>

<file path=xl/ctrlProps/ctrlProp250.xml><?xml version="1.0" encoding="utf-8"?>
<formControlPr xmlns="http://schemas.microsoft.com/office/spreadsheetml/2009/9/main" objectType="CheckBox" checked="Checked" noThreeD="1"/>
</file>

<file path=xl/ctrlProps/ctrlProp251.xml><?xml version="1.0" encoding="utf-8"?>
<formControlPr xmlns="http://schemas.microsoft.com/office/spreadsheetml/2009/9/main" objectType="CheckBox" noThreeD="1"/>
</file>

<file path=xl/ctrlProps/ctrlProp252.xml><?xml version="1.0" encoding="utf-8"?>
<formControlPr xmlns="http://schemas.microsoft.com/office/spreadsheetml/2009/9/main" objectType="CheckBox" noThreeD="1"/>
</file>

<file path=xl/ctrlProps/ctrlProp253.xml><?xml version="1.0" encoding="utf-8"?>
<formControlPr xmlns="http://schemas.microsoft.com/office/spreadsheetml/2009/9/main" objectType="CheckBox" noThreeD="1"/>
</file>

<file path=xl/ctrlProps/ctrlProp254.xml><?xml version="1.0" encoding="utf-8"?>
<formControlPr xmlns="http://schemas.microsoft.com/office/spreadsheetml/2009/9/main" objectType="CheckBox" noThreeD="1"/>
</file>

<file path=xl/ctrlProps/ctrlProp255.xml><?xml version="1.0" encoding="utf-8"?>
<formControlPr xmlns="http://schemas.microsoft.com/office/spreadsheetml/2009/9/main" objectType="CheckBox" noThreeD="1"/>
</file>

<file path=xl/ctrlProps/ctrlProp256.xml><?xml version="1.0" encoding="utf-8"?>
<formControlPr xmlns="http://schemas.microsoft.com/office/spreadsheetml/2009/9/main" objectType="CheckBox" noThreeD="1"/>
</file>

<file path=xl/ctrlProps/ctrlProp257.xml><?xml version="1.0" encoding="utf-8"?>
<formControlPr xmlns="http://schemas.microsoft.com/office/spreadsheetml/2009/9/main" objectType="CheckBox" noThreeD="1"/>
</file>

<file path=xl/ctrlProps/ctrlProp258.xml><?xml version="1.0" encoding="utf-8"?>
<formControlPr xmlns="http://schemas.microsoft.com/office/spreadsheetml/2009/9/main" objectType="CheckBox" noThreeD="1"/>
</file>

<file path=xl/ctrlProps/ctrlProp259.xml><?xml version="1.0" encoding="utf-8"?>
<formControlPr xmlns="http://schemas.microsoft.com/office/spreadsheetml/2009/9/main" objectType="CheckBox" noThreeD="1"/>
</file>

<file path=xl/ctrlProps/ctrlProp260.xml><?xml version="1.0" encoding="utf-8"?>
<formControlPr xmlns="http://schemas.microsoft.com/office/spreadsheetml/2009/9/main" objectType="CheckBox" noThreeD="1"/>
</file>

<file path=xl/ctrlProps/ctrlProp261.xml><?xml version="1.0" encoding="utf-8"?>
<formControlPr xmlns="http://schemas.microsoft.com/office/spreadsheetml/2009/9/main" objectType="CheckBox" noThreeD="1"/>
</file>

<file path=xl/ctrlProps/ctrlProp262.xml><?xml version="1.0" encoding="utf-8"?>
<formControlPr xmlns="http://schemas.microsoft.com/office/spreadsheetml/2009/9/main" objectType="CheckBox" noThreeD="1"/>
</file>

<file path=xl/ctrlProps/ctrlProp263.xml><?xml version="1.0" encoding="utf-8"?>
<formControlPr xmlns="http://schemas.microsoft.com/office/spreadsheetml/2009/9/main" objectType="CheckBox" noThreeD="1"/>
</file>

<file path=xl/ctrlProps/ctrlProp264.xml><?xml version="1.0" encoding="utf-8"?>
<formControlPr xmlns="http://schemas.microsoft.com/office/spreadsheetml/2009/9/main" objectType="CheckBox" checked="Checked" noThreeD="1"/>
</file>

<file path=xl/ctrlProps/ctrlProp265.xml><?xml version="1.0" encoding="utf-8"?>
<formControlPr xmlns="http://schemas.microsoft.com/office/spreadsheetml/2009/9/main" objectType="CheckBox" noThreeD="1"/>
</file>

<file path=xl/ctrlProps/ctrlProp266.xml><?xml version="1.0" encoding="utf-8"?>
<formControlPr xmlns="http://schemas.microsoft.com/office/spreadsheetml/2009/9/main" objectType="CheckBox" noThreeD="1"/>
</file>

<file path=xl/ctrlProps/ctrlProp267.xml><?xml version="1.0" encoding="utf-8"?>
<formControlPr xmlns="http://schemas.microsoft.com/office/spreadsheetml/2009/9/main" objectType="CheckBox" noThreeD="1"/>
</file>

<file path=xl/ctrlProps/ctrlProp268.xml><?xml version="1.0" encoding="utf-8"?>
<formControlPr xmlns="http://schemas.microsoft.com/office/spreadsheetml/2009/9/main" objectType="CheckBox" noThreeD="1"/>
</file>

<file path=xl/ctrlProps/ctrlProp269.xml><?xml version="1.0" encoding="utf-8"?>
<formControlPr xmlns="http://schemas.microsoft.com/office/spreadsheetml/2009/9/main" objectType="CheckBox" noThreeD="1"/>
</file>

<file path=xl/ctrlProps/ctrlProp270.xml><?xml version="1.0" encoding="utf-8"?>
<formControlPr xmlns="http://schemas.microsoft.com/office/spreadsheetml/2009/9/main" objectType="CheckBox" noThreeD="1"/>
</file>

<file path=xl/ctrlProps/ctrlProp271.xml><?xml version="1.0" encoding="utf-8"?>
<formControlPr xmlns="http://schemas.microsoft.com/office/spreadsheetml/2009/9/main" objectType="CheckBox" noThreeD="1"/>
</file>

<file path=xl/ctrlProps/ctrlProp272.xml><?xml version="1.0" encoding="utf-8"?>
<formControlPr xmlns="http://schemas.microsoft.com/office/spreadsheetml/2009/9/main" objectType="CheckBox" noThreeD="1"/>
</file>

<file path=xl/ctrlProps/ctrlProp273.xml><?xml version="1.0" encoding="utf-8"?>
<formControlPr xmlns="http://schemas.microsoft.com/office/spreadsheetml/2009/9/main" objectType="CheckBox" noThreeD="1"/>
</file>

<file path=xl/ctrlProps/ctrlProp274.xml><?xml version="1.0" encoding="utf-8"?>
<formControlPr xmlns="http://schemas.microsoft.com/office/spreadsheetml/2009/9/main" objectType="CheckBox" noThreeD="1"/>
</file>

<file path=xl/ctrlProps/ctrlProp275.xml><?xml version="1.0" encoding="utf-8"?>
<formControlPr xmlns="http://schemas.microsoft.com/office/spreadsheetml/2009/9/main" objectType="CheckBox" noThreeD="1"/>
</file>

<file path=xl/ctrlProps/ctrlProp276.xml><?xml version="1.0" encoding="utf-8"?>
<formControlPr xmlns="http://schemas.microsoft.com/office/spreadsheetml/2009/9/main" objectType="CheckBox" noThreeD="1"/>
</file>

<file path=xl/ctrlProps/ctrlProp277.xml><?xml version="1.0" encoding="utf-8"?>
<formControlPr xmlns="http://schemas.microsoft.com/office/spreadsheetml/2009/9/main" objectType="CheckBox" checked="Checked" noThreeD="1"/>
</file>

<file path=xl/ctrlProps/ctrlProp278.xml><?xml version="1.0" encoding="utf-8"?>
<formControlPr xmlns="http://schemas.microsoft.com/office/spreadsheetml/2009/9/main" objectType="CheckBox" noThreeD="1"/>
</file>

<file path=xl/ctrlProps/ctrlProp279.xml><?xml version="1.0" encoding="utf-8"?>
<formControlPr xmlns="http://schemas.microsoft.com/office/spreadsheetml/2009/9/main" objectType="CheckBox" noThreeD="1"/>
</file>

<file path=xl/ctrlProps/ctrlProp280.xml><?xml version="1.0" encoding="utf-8"?>
<formControlPr xmlns="http://schemas.microsoft.com/office/spreadsheetml/2009/9/main" objectType="CheckBox" noThreeD="1"/>
</file>

<file path=xl/ctrlProps/ctrlProp281.xml><?xml version="1.0" encoding="utf-8"?>
<formControlPr xmlns="http://schemas.microsoft.com/office/spreadsheetml/2009/9/main" objectType="CheckBox" noThreeD="1"/>
</file>

<file path=xl/ctrlProps/ctrlProp282.xml><?xml version="1.0" encoding="utf-8"?>
<formControlPr xmlns="http://schemas.microsoft.com/office/spreadsheetml/2009/9/main" objectType="CheckBox" noThreeD="1"/>
</file>

<file path=xl/ctrlProps/ctrlProp283.xml><?xml version="1.0" encoding="utf-8"?>
<formControlPr xmlns="http://schemas.microsoft.com/office/spreadsheetml/2009/9/main" objectType="CheckBox" noThreeD="1"/>
</file>

<file path=xl/ctrlProps/ctrlProp284.xml><?xml version="1.0" encoding="utf-8"?>
<formControlPr xmlns="http://schemas.microsoft.com/office/spreadsheetml/2009/9/main" objectType="CheckBox" noThreeD="1"/>
</file>

<file path=xl/ctrlProps/ctrlProp285.xml><?xml version="1.0" encoding="utf-8"?>
<formControlPr xmlns="http://schemas.microsoft.com/office/spreadsheetml/2009/9/main" objectType="CheckBox" noThreeD="1"/>
</file>

<file path=xl/ctrlProps/ctrlProp286.xml><?xml version="1.0" encoding="utf-8"?>
<formControlPr xmlns="http://schemas.microsoft.com/office/spreadsheetml/2009/9/main" objectType="CheckBox" noThreeD="1"/>
</file>

<file path=xl/ctrlProps/ctrlProp287.xml><?xml version="1.0" encoding="utf-8"?>
<formControlPr xmlns="http://schemas.microsoft.com/office/spreadsheetml/2009/9/main" objectType="CheckBox" noThreeD="1"/>
</file>

<file path=xl/ctrlProps/ctrlProp288.xml><?xml version="1.0" encoding="utf-8"?>
<formControlPr xmlns="http://schemas.microsoft.com/office/spreadsheetml/2009/9/main" objectType="CheckBox" noThreeD="1"/>
</file>

<file path=xl/ctrlProps/ctrlProp289.xml><?xml version="1.0" encoding="utf-8"?>
<formControlPr xmlns="http://schemas.microsoft.com/office/spreadsheetml/2009/9/main" objectType="CheckBox" noThreeD="1"/>
</file>

<file path=xl/ctrlProps/ctrlProp290.xml><?xml version="1.0" encoding="utf-8"?>
<formControlPr xmlns="http://schemas.microsoft.com/office/spreadsheetml/2009/9/main" objectType="CheckBox" noThreeD="1"/>
</file>

<file path=xl/ctrlProps/ctrlProp291.xml><?xml version="1.0" encoding="utf-8"?>
<formControlPr xmlns="http://schemas.microsoft.com/office/spreadsheetml/2009/9/main" objectType="CheckBox" noThreeD="1"/>
</file>

<file path=xl/ctrlProps/ctrlProp292.xml><?xml version="1.0" encoding="utf-8"?>
<formControlPr xmlns="http://schemas.microsoft.com/office/spreadsheetml/2009/9/main" objectType="CheckBox" noThreeD="1"/>
</file>

<file path=xl/ctrlProps/ctrlProp293.xml><?xml version="1.0" encoding="utf-8"?>
<formControlPr xmlns="http://schemas.microsoft.com/office/spreadsheetml/2009/9/main" objectType="CheckBox" noThreeD="1"/>
</file>

<file path=xl/ctrlProps/ctrlProp294.xml><?xml version="1.0" encoding="utf-8"?>
<formControlPr xmlns="http://schemas.microsoft.com/office/spreadsheetml/2009/9/main" objectType="CheckBox" noThreeD="1"/>
</file>

<file path=xl/ctrlProps/ctrlProp295.xml><?xml version="1.0" encoding="utf-8"?>
<formControlPr xmlns="http://schemas.microsoft.com/office/spreadsheetml/2009/9/main" objectType="CheckBox" noThreeD="1"/>
</file>

<file path=xl/ctrlProps/ctrlProp296.xml><?xml version="1.0" encoding="utf-8"?>
<formControlPr xmlns="http://schemas.microsoft.com/office/spreadsheetml/2009/9/main" objectType="CheckBox" noThreeD="1"/>
</file>

<file path=xl/ctrlProps/ctrlProp297.xml><?xml version="1.0" encoding="utf-8"?>
<formControlPr xmlns="http://schemas.microsoft.com/office/spreadsheetml/2009/9/main" objectType="CheckBox" noThreeD="1"/>
</file>

<file path=xl/ctrlProps/ctrlProp298.xml><?xml version="1.0" encoding="utf-8"?>
<formControlPr xmlns="http://schemas.microsoft.com/office/spreadsheetml/2009/9/main" objectType="CheckBox" noThreeD="1"/>
</file>

<file path=xl/ctrlProps/ctrlProp299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569075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762001</xdr:colOff>
      <xdr:row>0</xdr:row>
      <xdr:rowOff>489857</xdr:rowOff>
    </xdr:from>
    <xdr:to>
      <xdr:col>7</xdr:col>
      <xdr:colOff>34019</xdr:colOff>
      <xdr:row>1</xdr:row>
      <xdr:rowOff>81643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5362575" y="489585"/>
          <a:ext cx="1043305" cy="248920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10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CSPC-F-PC-48c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 noChangeShapeType="1"/>
        </xdr:cNvCxnSpPr>
      </xdr:nvCxnSpPr>
      <xdr:spPr>
        <a:xfrm>
          <a:off x="0" y="9714865"/>
          <a:ext cx="6372225" cy="1587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610870" y="1248410"/>
          <a:ext cx="37896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564696</xdr:colOff>
      <xdr:row>37</xdr:row>
      <xdr:rowOff>129267</xdr:rowOff>
    </xdr:from>
    <xdr:to>
      <xdr:col>1</xdr:col>
      <xdr:colOff>523874</xdr:colOff>
      <xdr:row>40</xdr:row>
      <xdr:rowOff>122463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4515" y="7291705"/>
          <a:ext cx="1882775" cy="564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Bidding Documents for Sale</a:t>
          </a:r>
        </a:p>
        <a:p>
          <a:r>
            <a:rPr lang="en-US" sz="1100"/>
            <a:t>of Unserviceable Properties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693965</xdr:colOff>
      <xdr:row>39</xdr:row>
      <xdr:rowOff>142874</xdr:rowOff>
    </xdr:from>
    <xdr:to>
      <xdr:col>11</xdr:col>
      <xdr:colOff>238125</xdr:colOff>
      <xdr:row>49</xdr:row>
      <xdr:rowOff>6803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7075170" y="7343140"/>
          <a:ext cx="2326005" cy="1816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57860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>
        <a:xfrm>
          <a:off x="5303520" y="475615"/>
          <a:ext cx="119380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51</xdr:row>
      <xdr:rowOff>156483</xdr:rowOff>
    </xdr:from>
    <xdr:to>
      <xdr:col>6</xdr:col>
      <xdr:colOff>408214</xdr:colOff>
      <xdr:row>51</xdr:row>
      <xdr:rowOff>173566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cxnSpLocks noChangeShapeType="1"/>
        </xdr:cNvCxnSpPr>
      </xdr:nvCxnSpPr>
      <xdr:spPr>
        <a:xfrm flipV="1">
          <a:off x="0" y="9690735"/>
          <a:ext cx="6379845" cy="1714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>
          <a:off x="610870" y="1248410"/>
          <a:ext cx="37515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1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1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1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1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1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1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1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1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15</xdr:row>
          <xdr:rowOff>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1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15</xdr:row>
          <xdr:rowOff>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1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1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1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1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578303</xdr:colOff>
      <xdr:row>37</xdr:row>
      <xdr:rowOff>0</xdr:rowOff>
    </xdr:from>
    <xdr:to>
      <xdr:col>2</xdr:col>
      <xdr:colOff>13607</xdr:colOff>
      <xdr:row>38</xdr:row>
      <xdr:rowOff>20411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77850" y="6819900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50" baseline="0"/>
            <a:t>RED CARPET</a:t>
          </a:r>
        </a:p>
        <a:p>
          <a:pPr algn="l"/>
          <a:endParaRPr lang="en-US" sz="1050" baseline="0"/>
        </a:p>
      </xdr:txBody>
    </xdr:sp>
    <xdr:clientData/>
  </xdr:twoCellAnchor>
  <xdr:twoCellAnchor>
    <xdr:from>
      <xdr:col>0</xdr:col>
      <xdr:colOff>551089</xdr:colOff>
      <xdr:row>37</xdr:row>
      <xdr:rowOff>163286</xdr:rowOff>
    </xdr:from>
    <xdr:to>
      <xdr:col>2</xdr:col>
      <xdr:colOff>170089</xdr:colOff>
      <xdr:row>38</xdr:row>
      <xdr:rowOff>183697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50545" y="6983095"/>
          <a:ext cx="245745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050" b="1" baseline="0"/>
        </a:p>
      </xdr:txBody>
    </xdr:sp>
    <xdr:clientData/>
  </xdr:twoCellAnchor>
  <xdr:twoCellAnchor>
    <xdr:from>
      <xdr:col>0</xdr:col>
      <xdr:colOff>512990</xdr:colOff>
      <xdr:row>40</xdr:row>
      <xdr:rowOff>9525</xdr:rowOff>
    </xdr:from>
    <xdr:to>
      <xdr:col>1</xdr:col>
      <xdr:colOff>948419</xdr:colOff>
      <xdr:row>41</xdr:row>
      <xdr:rowOff>29936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12445" y="7400925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050" baseline="0"/>
        </a:p>
      </xdr:txBody>
    </xdr:sp>
    <xdr:clientData/>
  </xdr:twoCellAnchor>
  <xdr:twoCellAnchor>
    <xdr:from>
      <xdr:col>0</xdr:col>
      <xdr:colOff>542925</xdr:colOff>
      <xdr:row>42</xdr:row>
      <xdr:rowOff>182336</xdr:rowOff>
    </xdr:from>
    <xdr:to>
      <xdr:col>1</xdr:col>
      <xdr:colOff>978354</xdr:colOff>
      <xdr:row>44</xdr:row>
      <xdr:rowOff>12247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42925" y="7954645"/>
          <a:ext cx="227330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050" baseline="0"/>
        </a:p>
      </xdr:txBody>
    </xdr:sp>
    <xdr:clientData/>
  </xdr:twoCellAnchor>
  <xdr:twoCellAnchor>
    <xdr:from>
      <xdr:col>0</xdr:col>
      <xdr:colOff>512990</xdr:colOff>
      <xdr:row>40</xdr:row>
      <xdr:rowOff>9525</xdr:rowOff>
    </xdr:from>
    <xdr:to>
      <xdr:col>2</xdr:col>
      <xdr:colOff>131990</xdr:colOff>
      <xdr:row>41</xdr:row>
      <xdr:rowOff>29936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12445" y="7400925"/>
          <a:ext cx="245745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en-US" sz="1050">
            <a:effectLst/>
          </a:endParaRPr>
        </a:p>
        <a:p>
          <a:pPr algn="l"/>
          <a:endParaRPr lang="en-US" sz="1050" b="1" baseline="0"/>
        </a:p>
      </xdr:txBody>
    </xdr:sp>
    <xdr:clientData/>
  </xdr:twoCellAnchor>
  <xdr:twoCellAnchor>
    <xdr:from>
      <xdr:col>0</xdr:col>
      <xdr:colOff>575310</xdr:colOff>
      <xdr:row>38</xdr:row>
      <xdr:rowOff>154305</xdr:rowOff>
    </xdr:from>
    <xdr:to>
      <xdr:col>2</xdr:col>
      <xdr:colOff>194310</xdr:colOff>
      <xdr:row>39</xdr:row>
      <xdr:rowOff>174625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75310" y="7164705"/>
          <a:ext cx="245745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050" b="1" baseline="0"/>
        </a:p>
      </xdr:txBody>
    </xdr:sp>
    <xdr:clientData/>
  </xdr:twoCellAnchor>
  <xdr:twoCellAnchor>
    <xdr:from>
      <xdr:col>0</xdr:col>
      <xdr:colOff>568507</xdr:colOff>
      <xdr:row>38</xdr:row>
      <xdr:rowOff>544</xdr:rowOff>
    </xdr:from>
    <xdr:to>
      <xdr:col>2</xdr:col>
      <xdr:colOff>3811</xdr:colOff>
      <xdr:row>39</xdr:row>
      <xdr:rowOff>44632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68507" y="6994615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ELECTRICITY CHARGE: LED WALL		</a:t>
          </a:r>
        </a:p>
      </xdr:txBody>
    </xdr:sp>
    <xdr:clientData/>
  </xdr:twoCellAnchor>
  <xdr:twoCellAnchor>
    <xdr:from>
      <xdr:col>0</xdr:col>
      <xdr:colOff>557621</xdr:colOff>
      <xdr:row>38</xdr:row>
      <xdr:rowOff>173355</xdr:rowOff>
    </xdr:from>
    <xdr:to>
      <xdr:col>1</xdr:col>
      <xdr:colOff>993050</xdr:colOff>
      <xdr:row>40</xdr:row>
      <xdr:rowOff>26943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557621" y="7167426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OVERTIME PAYMENT	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693965</xdr:colOff>
      <xdr:row>39</xdr:row>
      <xdr:rowOff>142874</xdr:rowOff>
    </xdr:from>
    <xdr:to>
      <xdr:col>11</xdr:col>
      <xdr:colOff>238125</xdr:colOff>
      <xdr:row>49</xdr:row>
      <xdr:rowOff>6803</xdr:rowOff>
    </xdr:to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075715" y="7353299"/>
          <a:ext cx="2325460" cy="1816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5784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>
        <a:xfrm>
          <a:off x="53040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51</xdr:row>
      <xdr:rowOff>156483</xdr:rowOff>
    </xdr:from>
    <xdr:to>
      <xdr:col>6</xdr:col>
      <xdr:colOff>408214</xdr:colOff>
      <xdr:row>51</xdr:row>
      <xdr:rowOff>173566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>
          <a:cxnSpLocks noChangeShapeType="1"/>
        </xdr:cNvCxnSpPr>
      </xdr:nvCxnSpPr>
      <xdr:spPr>
        <a:xfrm flipV="1">
          <a:off x="0" y="9700533"/>
          <a:ext cx="6380389" cy="17083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611332" y="1258289"/>
          <a:ext cx="37511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53249" name="Check Box 1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02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53250" name="Check Box 2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02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53251" name="Check Box 3" hidden="1">
              <a:extLst>
                <a:ext uri="{63B3BB69-23CF-44E3-9099-C40C66FF867C}">
                  <a14:compatExt spid="_x0000_s53251"/>
                </a:ext>
                <a:ext uri="{FF2B5EF4-FFF2-40B4-BE49-F238E27FC236}">
                  <a16:creationId xmlns:a16="http://schemas.microsoft.com/office/drawing/2014/main" id="{00000000-0008-0000-0200-000003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53252" name="Check Box 4" hidden="1">
              <a:extLst>
                <a:ext uri="{63B3BB69-23CF-44E3-9099-C40C66FF867C}">
                  <a14:compatExt spid="_x0000_s53252"/>
                </a:ext>
                <a:ext uri="{FF2B5EF4-FFF2-40B4-BE49-F238E27FC236}">
                  <a16:creationId xmlns:a16="http://schemas.microsoft.com/office/drawing/2014/main" id="{00000000-0008-0000-0200-000004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53253" name="Check Box 5" hidden="1">
              <a:extLst>
                <a:ext uri="{63B3BB69-23CF-44E3-9099-C40C66FF867C}">
                  <a14:compatExt spid="_x0000_s53253"/>
                </a:ext>
                <a:ext uri="{FF2B5EF4-FFF2-40B4-BE49-F238E27FC236}">
                  <a16:creationId xmlns:a16="http://schemas.microsoft.com/office/drawing/2014/main" id="{00000000-0008-0000-0200-000005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53254" name="Check Box 6" hidden="1">
              <a:extLst>
                <a:ext uri="{63B3BB69-23CF-44E3-9099-C40C66FF867C}">
                  <a14:compatExt spid="_x0000_s53254"/>
                </a:ext>
                <a:ext uri="{FF2B5EF4-FFF2-40B4-BE49-F238E27FC236}">
                  <a16:creationId xmlns:a16="http://schemas.microsoft.com/office/drawing/2014/main" id="{00000000-0008-0000-0200-000006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53255" name="Check Box 7" hidden="1">
              <a:extLst>
                <a:ext uri="{63B3BB69-23CF-44E3-9099-C40C66FF867C}">
                  <a14:compatExt spid="_x0000_s53255"/>
                </a:ext>
                <a:ext uri="{FF2B5EF4-FFF2-40B4-BE49-F238E27FC236}">
                  <a16:creationId xmlns:a16="http://schemas.microsoft.com/office/drawing/2014/main" id="{00000000-0008-0000-0200-000007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53256" name="Check Box 8" hidden="1">
              <a:extLst>
                <a:ext uri="{63B3BB69-23CF-44E3-9099-C40C66FF867C}">
                  <a14:compatExt spid="_x0000_s53256"/>
                </a:ext>
                <a:ext uri="{FF2B5EF4-FFF2-40B4-BE49-F238E27FC236}">
                  <a16:creationId xmlns:a16="http://schemas.microsoft.com/office/drawing/2014/main" id="{00000000-0008-0000-0200-000008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152400</xdr:rowOff>
        </xdr:from>
        <xdr:to>
          <xdr:col>1</xdr:col>
          <xdr:colOff>723900</xdr:colOff>
          <xdr:row>15</xdr:row>
          <xdr:rowOff>0</xdr:rowOff>
        </xdr:to>
        <xdr:sp macro="" textlink="">
          <xdr:nvSpPr>
            <xdr:cNvPr id="53257" name="Check Box 9" hidden="1">
              <a:extLst>
                <a:ext uri="{63B3BB69-23CF-44E3-9099-C40C66FF867C}">
                  <a14:compatExt spid="_x0000_s53257"/>
                </a:ext>
                <a:ext uri="{FF2B5EF4-FFF2-40B4-BE49-F238E27FC236}">
                  <a16:creationId xmlns:a16="http://schemas.microsoft.com/office/drawing/2014/main" id="{00000000-0008-0000-0200-000009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152400</xdr:rowOff>
        </xdr:from>
        <xdr:to>
          <xdr:col>2</xdr:col>
          <xdr:colOff>685800</xdr:colOff>
          <xdr:row>15</xdr:row>
          <xdr:rowOff>0</xdr:rowOff>
        </xdr:to>
        <xdr:sp macro="" textlink="">
          <xdr:nvSpPr>
            <xdr:cNvPr id="53258" name="Check Box 10" hidden="1">
              <a:extLst>
                <a:ext uri="{63B3BB69-23CF-44E3-9099-C40C66FF867C}">
                  <a14:compatExt spid="_x0000_s53258"/>
                </a:ext>
                <a:ext uri="{FF2B5EF4-FFF2-40B4-BE49-F238E27FC236}">
                  <a16:creationId xmlns:a16="http://schemas.microsoft.com/office/drawing/2014/main" id="{00000000-0008-0000-0200-00000A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53259" name="Check Box 11" hidden="1">
              <a:extLst>
                <a:ext uri="{63B3BB69-23CF-44E3-9099-C40C66FF867C}">
                  <a14:compatExt spid="_x0000_s53259"/>
                </a:ext>
                <a:ext uri="{FF2B5EF4-FFF2-40B4-BE49-F238E27FC236}">
                  <a16:creationId xmlns:a16="http://schemas.microsoft.com/office/drawing/2014/main" id="{00000000-0008-0000-0200-00000B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53260" name="Check Box 12" hidden="1">
              <a:extLst>
                <a:ext uri="{63B3BB69-23CF-44E3-9099-C40C66FF867C}">
                  <a14:compatExt spid="_x0000_s53260"/>
                </a:ext>
                <a:ext uri="{FF2B5EF4-FFF2-40B4-BE49-F238E27FC236}">
                  <a16:creationId xmlns:a16="http://schemas.microsoft.com/office/drawing/2014/main" id="{00000000-0008-0000-0200-00000C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53261" name="Check Box 13" hidden="1">
              <a:extLst>
                <a:ext uri="{63B3BB69-23CF-44E3-9099-C40C66FF867C}">
                  <a14:compatExt spid="_x0000_s53261"/>
                </a:ext>
                <a:ext uri="{FF2B5EF4-FFF2-40B4-BE49-F238E27FC236}">
                  <a16:creationId xmlns:a16="http://schemas.microsoft.com/office/drawing/2014/main" id="{00000000-0008-0000-0200-00000D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551089</xdr:colOff>
      <xdr:row>37</xdr:row>
      <xdr:rowOff>163286</xdr:rowOff>
    </xdr:from>
    <xdr:to>
      <xdr:col>2</xdr:col>
      <xdr:colOff>170089</xdr:colOff>
      <xdr:row>38</xdr:row>
      <xdr:rowOff>183697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51089" y="6992711"/>
          <a:ext cx="2457450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050">
            <a:effectLst/>
          </a:endParaRPr>
        </a:p>
        <a:p>
          <a:pPr algn="l"/>
          <a:r>
            <a:rPr lang="en-US" sz="1050" b="0" baseline="0"/>
            <a:t>RED CARPET</a:t>
          </a:r>
        </a:p>
        <a:p>
          <a:pPr algn="l"/>
          <a:endParaRPr lang="en-US" sz="1050" b="1" baseline="0"/>
        </a:p>
      </xdr:txBody>
    </xdr:sp>
    <xdr:clientData/>
  </xdr:twoCellAnchor>
  <xdr:twoCellAnchor>
    <xdr:from>
      <xdr:col>0</xdr:col>
      <xdr:colOff>512990</xdr:colOff>
      <xdr:row>40</xdr:row>
      <xdr:rowOff>9525</xdr:rowOff>
    </xdr:from>
    <xdr:to>
      <xdr:col>1</xdr:col>
      <xdr:colOff>948419</xdr:colOff>
      <xdr:row>41</xdr:row>
      <xdr:rowOff>29936</xdr:rowOff>
    </xdr:to>
    <xdr:sp macro="" textlink="">
      <xdr:nvSpPr>
        <xdr:cNvPr id="11" name="TextBox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12990" y="7410450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050" baseline="0"/>
        </a:p>
      </xdr:txBody>
    </xdr:sp>
    <xdr:clientData/>
  </xdr:twoCellAnchor>
  <xdr:twoCellAnchor>
    <xdr:from>
      <xdr:col>0</xdr:col>
      <xdr:colOff>542925</xdr:colOff>
      <xdr:row>42</xdr:row>
      <xdr:rowOff>182336</xdr:rowOff>
    </xdr:from>
    <xdr:to>
      <xdr:col>1</xdr:col>
      <xdr:colOff>978354</xdr:colOff>
      <xdr:row>44</xdr:row>
      <xdr:rowOff>12247</xdr:rowOff>
    </xdr:to>
    <xdr:sp macro="" textlink="">
      <xdr:nvSpPr>
        <xdr:cNvPr id="12" name="TextBox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42925" y="7964261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050" baseline="0"/>
        </a:p>
      </xdr:txBody>
    </xdr:sp>
    <xdr:clientData/>
  </xdr:twoCellAnchor>
  <xdr:twoCellAnchor>
    <xdr:from>
      <xdr:col>0</xdr:col>
      <xdr:colOff>512990</xdr:colOff>
      <xdr:row>40</xdr:row>
      <xdr:rowOff>9525</xdr:rowOff>
    </xdr:from>
    <xdr:to>
      <xdr:col>2</xdr:col>
      <xdr:colOff>131990</xdr:colOff>
      <xdr:row>41</xdr:row>
      <xdr:rowOff>29936</xdr:rowOff>
    </xdr:to>
    <xdr:sp macro="" textlink="">
      <xdr:nvSpPr>
        <xdr:cNvPr id="13" name="TextBox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12990" y="7410450"/>
          <a:ext cx="2457450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en-US" sz="1050">
            <a:effectLst/>
          </a:endParaRPr>
        </a:p>
        <a:p>
          <a:pPr algn="l"/>
          <a:endParaRPr lang="en-US" sz="1050" b="1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693965</xdr:colOff>
      <xdr:row>39</xdr:row>
      <xdr:rowOff>142874</xdr:rowOff>
    </xdr:from>
    <xdr:to>
      <xdr:col>11</xdr:col>
      <xdr:colOff>238125</xdr:colOff>
      <xdr:row>49</xdr:row>
      <xdr:rowOff>6803</xdr:rowOff>
    </xdr:to>
    <xdr:sp macro="" textlink="">
      <xdr:nvSpPr>
        <xdr:cNvPr id="2" name="TextBox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075170" y="7343140"/>
          <a:ext cx="2326005" cy="1816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57860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>
        <a:xfrm>
          <a:off x="5303520" y="475615"/>
          <a:ext cx="119380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51</xdr:row>
      <xdr:rowOff>156483</xdr:rowOff>
    </xdr:from>
    <xdr:to>
      <xdr:col>6</xdr:col>
      <xdr:colOff>408214</xdr:colOff>
      <xdr:row>51</xdr:row>
      <xdr:rowOff>173566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cxnSpLocks noChangeShapeType="1"/>
        </xdr:cNvCxnSpPr>
      </xdr:nvCxnSpPr>
      <xdr:spPr>
        <a:xfrm flipV="1">
          <a:off x="0" y="9690735"/>
          <a:ext cx="6379845" cy="1714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>
          <a:off x="610870" y="1248410"/>
          <a:ext cx="37515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32769" name="Check Box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3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32770" name="Check Box 2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03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32771" name="Check Box 3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00000000-0008-0000-0300-000003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32772" name="Check Box 4" hidden="1">
              <a:extLst>
                <a:ext uri="{63B3BB69-23CF-44E3-9099-C40C66FF867C}">
                  <a14:compatExt spid="_x0000_s32772"/>
                </a:ext>
                <a:ext uri="{FF2B5EF4-FFF2-40B4-BE49-F238E27FC236}">
                  <a16:creationId xmlns:a16="http://schemas.microsoft.com/office/drawing/2014/main" id="{00000000-0008-0000-0300-000004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32773" name="Check Box 5" hidden="1">
              <a:extLst>
                <a:ext uri="{63B3BB69-23CF-44E3-9099-C40C66FF867C}">
                  <a14:compatExt spid="_x0000_s32773"/>
                </a:ext>
                <a:ext uri="{FF2B5EF4-FFF2-40B4-BE49-F238E27FC236}">
                  <a16:creationId xmlns:a16="http://schemas.microsoft.com/office/drawing/2014/main" id="{00000000-0008-0000-0300-000005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32774" name="Check Box 6" hidden="1">
              <a:extLst>
                <a:ext uri="{63B3BB69-23CF-44E3-9099-C40C66FF867C}">
                  <a14:compatExt spid="_x0000_s32774"/>
                </a:ext>
                <a:ext uri="{FF2B5EF4-FFF2-40B4-BE49-F238E27FC236}">
                  <a16:creationId xmlns:a16="http://schemas.microsoft.com/office/drawing/2014/main" id="{00000000-0008-0000-0300-000006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32775" name="Check Box 7" hidden="1">
              <a:extLst>
                <a:ext uri="{63B3BB69-23CF-44E3-9099-C40C66FF867C}">
                  <a14:compatExt spid="_x0000_s32775"/>
                </a:ext>
                <a:ext uri="{FF2B5EF4-FFF2-40B4-BE49-F238E27FC236}">
                  <a16:creationId xmlns:a16="http://schemas.microsoft.com/office/drawing/2014/main" id="{00000000-0008-0000-0300-000007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32776" name="Check Box 8" hidden="1">
              <a:extLst>
                <a:ext uri="{63B3BB69-23CF-44E3-9099-C40C66FF867C}">
                  <a14:compatExt spid="_x0000_s32776"/>
                </a:ext>
                <a:ext uri="{FF2B5EF4-FFF2-40B4-BE49-F238E27FC236}">
                  <a16:creationId xmlns:a16="http://schemas.microsoft.com/office/drawing/2014/main" id="{00000000-0008-0000-0300-000008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152400</xdr:rowOff>
        </xdr:from>
        <xdr:to>
          <xdr:col>1</xdr:col>
          <xdr:colOff>723900</xdr:colOff>
          <xdr:row>15</xdr:row>
          <xdr:rowOff>0</xdr:rowOff>
        </xdr:to>
        <xdr:sp macro="" textlink="">
          <xdr:nvSpPr>
            <xdr:cNvPr id="32777" name="Check Box 9" hidden="1">
              <a:extLst>
                <a:ext uri="{63B3BB69-23CF-44E3-9099-C40C66FF867C}">
                  <a14:compatExt spid="_x0000_s32777"/>
                </a:ext>
                <a:ext uri="{FF2B5EF4-FFF2-40B4-BE49-F238E27FC236}">
                  <a16:creationId xmlns:a16="http://schemas.microsoft.com/office/drawing/2014/main" id="{00000000-0008-0000-0300-000009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152400</xdr:rowOff>
        </xdr:from>
        <xdr:to>
          <xdr:col>2</xdr:col>
          <xdr:colOff>685800</xdr:colOff>
          <xdr:row>15</xdr:row>
          <xdr:rowOff>0</xdr:rowOff>
        </xdr:to>
        <xdr:sp macro="" textlink="">
          <xdr:nvSpPr>
            <xdr:cNvPr id="32778" name="Check Box 10" hidden="1">
              <a:extLst>
                <a:ext uri="{63B3BB69-23CF-44E3-9099-C40C66FF867C}">
                  <a14:compatExt spid="_x0000_s32778"/>
                </a:ext>
                <a:ext uri="{FF2B5EF4-FFF2-40B4-BE49-F238E27FC236}">
                  <a16:creationId xmlns:a16="http://schemas.microsoft.com/office/drawing/2014/main" id="{00000000-0008-0000-0300-00000A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32779" name="Check Box 11" hidden="1">
              <a:extLst>
                <a:ext uri="{63B3BB69-23CF-44E3-9099-C40C66FF867C}">
                  <a14:compatExt spid="_x0000_s32779"/>
                </a:ext>
                <a:ext uri="{FF2B5EF4-FFF2-40B4-BE49-F238E27FC236}">
                  <a16:creationId xmlns:a16="http://schemas.microsoft.com/office/drawing/2014/main" id="{00000000-0008-0000-0300-00000B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32780" name="Check Box 12" hidden="1">
              <a:extLst>
                <a:ext uri="{63B3BB69-23CF-44E3-9099-C40C66FF867C}">
                  <a14:compatExt spid="_x0000_s32780"/>
                </a:ext>
                <a:ext uri="{FF2B5EF4-FFF2-40B4-BE49-F238E27FC236}">
                  <a16:creationId xmlns:a16="http://schemas.microsoft.com/office/drawing/2014/main" id="{00000000-0008-0000-0300-00000C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32781" name="Check Box 13" hidden="1">
              <a:extLst>
                <a:ext uri="{63B3BB69-23CF-44E3-9099-C40C66FF867C}">
                  <a14:compatExt spid="_x0000_s32781"/>
                </a:ext>
                <a:ext uri="{FF2B5EF4-FFF2-40B4-BE49-F238E27FC236}">
                  <a16:creationId xmlns:a16="http://schemas.microsoft.com/office/drawing/2014/main" id="{00000000-0008-0000-0300-00000D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551089</xdr:colOff>
      <xdr:row>37</xdr:row>
      <xdr:rowOff>163286</xdr:rowOff>
    </xdr:from>
    <xdr:to>
      <xdr:col>2</xdr:col>
      <xdr:colOff>170089</xdr:colOff>
      <xdr:row>38</xdr:row>
      <xdr:rowOff>183697</xdr:rowOff>
    </xdr:to>
    <xdr:sp macro="" textlink="">
      <xdr:nvSpPr>
        <xdr:cNvPr id="24" name="TextBox 1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550545" y="6983095"/>
          <a:ext cx="245745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050">
            <a:effectLst/>
          </a:endParaRPr>
        </a:p>
        <a:p>
          <a:pPr algn="l"/>
          <a:r>
            <a:rPr lang="en-US" sz="1050" b="0" baseline="0"/>
            <a:t>RED CARPET</a:t>
          </a:r>
        </a:p>
        <a:p>
          <a:pPr algn="l"/>
          <a:endParaRPr lang="en-US" sz="1050" b="1" baseline="0"/>
        </a:p>
      </xdr:txBody>
    </xdr:sp>
    <xdr:clientData/>
  </xdr:twoCellAnchor>
  <xdr:twoCellAnchor>
    <xdr:from>
      <xdr:col>0</xdr:col>
      <xdr:colOff>512990</xdr:colOff>
      <xdr:row>40</xdr:row>
      <xdr:rowOff>9525</xdr:rowOff>
    </xdr:from>
    <xdr:to>
      <xdr:col>1</xdr:col>
      <xdr:colOff>948419</xdr:colOff>
      <xdr:row>41</xdr:row>
      <xdr:rowOff>29936</xdr:rowOff>
    </xdr:to>
    <xdr:sp macro="" textlink="">
      <xdr:nvSpPr>
        <xdr:cNvPr id="25" name="TextBox 1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512445" y="7400925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050" baseline="0"/>
        </a:p>
      </xdr:txBody>
    </xdr:sp>
    <xdr:clientData/>
  </xdr:twoCellAnchor>
  <xdr:twoCellAnchor>
    <xdr:from>
      <xdr:col>0</xdr:col>
      <xdr:colOff>542925</xdr:colOff>
      <xdr:row>42</xdr:row>
      <xdr:rowOff>182336</xdr:rowOff>
    </xdr:from>
    <xdr:to>
      <xdr:col>1</xdr:col>
      <xdr:colOff>978354</xdr:colOff>
      <xdr:row>44</xdr:row>
      <xdr:rowOff>12247</xdr:rowOff>
    </xdr:to>
    <xdr:sp macro="" textlink="">
      <xdr:nvSpPr>
        <xdr:cNvPr id="26" name="TextBox 13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42925" y="7954645"/>
          <a:ext cx="227330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050" baseline="0"/>
        </a:p>
      </xdr:txBody>
    </xdr:sp>
    <xdr:clientData/>
  </xdr:twoCellAnchor>
  <xdr:twoCellAnchor>
    <xdr:from>
      <xdr:col>0</xdr:col>
      <xdr:colOff>512990</xdr:colOff>
      <xdr:row>40</xdr:row>
      <xdr:rowOff>9525</xdr:rowOff>
    </xdr:from>
    <xdr:to>
      <xdr:col>2</xdr:col>
      <xdr:colOff>131990</xdr:colOff>
      <xdr:row>41</xdr:row>
      <xdr:rowOff>29936</xdr:rowOff>
    </xdr:to>
    <xdr:sp macro="" textlink="">
      <xdr:nvSpPr>
        <xdr:cNvPr id="27" name="TextBox 1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512445" y="7400925"/>
          <a:ext cx="245745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en-US" sz="1050">
            <a:effectLst/>
          </a:endParaRPr>
        </a:p>
        <a:p>
          <a:pPr algn="l"/>
          <a:endParaRPr lang="en-US" sz="1050" b="1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83003</xdr:colOff>
      <xdr:row>0</xdr:row>
      <xdr:rowOff>0</xdr:rowOff>
    </xdr:from>
    <xdr:to>
      <xdr:col>0</xdr:col>
      <xdr:colOff>625928</xdr:colOff>
      <xdr:row>0</xdr:row>
      <xdr:rowOff>522605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0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7</xdr:col>
      <xdr:colOff>20411</xdr:colOff>
      <xdr:row>2</xdr:row>
      <xdr:rowOff>224518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00075" y="9525"/>
          <a:ext cx="5582920" cy="1081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598715</xdr:rowOff>
    </xdr:from>
    <xdr:to>
      <xdr:col>9</xdr:col>
      <xdr:colOff>196685</xdr:colOff>
      <xdr:row>0</xdr:row>
      <xdr:rowOff>598716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cxnSpLocks noChangeShapeType="1"/>
        </xdr:cNvCxnSpPr>
      </xdr:nvCxnSpPr>
      <xdr:spPr>
        <a:xfrm flipV="1">
          <a:off x="0" y="598170"/>
          <a:ext cx="835914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272146</xdr:colOff>
      <xdr:row>0</xdr:row>
      <xdr:rowOff>476249</xdr:rowOff>
    </xdr:from>
    <xdr:to>
      <xdr:col>7</xdr:col>
      <xdr:colOff>1578430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>
        <a:xfrm>
          <a:off x="6434455" y="475615"/>
          <a:ext cx="1306195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3</xdr:row>
      <xdr:rowOff>29937</xdr:rowOff>
    </xdr:from>
    <xdr:to>
      <xdr:col>0</xdr:col>
      <xdr:colOff>628650</xdr:colOff>
      <xdr:row>5</xdr:row>
      <xdr:rowOff>10887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0" y="1163320"/>
          <a:ext cx="6286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52</xdr:row>
      <xdr:rowOff>255212</xdr:rowOff>
    </xdr:from>
    <xdr:to>
      <xdr:col>8</xdr:col>
      <xdr:colOff>387804</xdr:colOff>
      <xdr:row>53</xdr:row>
      <xdr:rowOff>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cxnSpLocks noChangeShapeType="1"/>
        </xdr:cNvCxnSpPr>
      </xdr:nvCxnSpPr>
      <xdr:spPr>
        <a:xfrm>
          <a:off x="0" y="11837035"/>
          <a:ext cx="8140700" cy="1206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610870" y="1400810"/>
          <a:ext cx="377063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4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4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4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4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4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4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4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9</xdr:row>
          <xdr:rowOff>161925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4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4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4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4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4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4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839561</xdr:colOff>
      <xdr:row>37</xdr:row>
      <xdr:rowOff>159204</xdr:rowOff>
    </xdr:from>
    <xdr:to>
      <xdr:col>1</xdr:col>
      <xdr:colOff>975632</xdr:colOff>
      <xdr:row>39</xdr:row>
      <xdr:rowOff>13607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39470" y="8188325"/>
          <a:ext cx="1974215" cy="235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RED CARPET	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7206-9C08-40C5-956F-6C1DE6346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9D336-DE90-4738-A240-5760758C6FDB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778E31-9108-4AEF-8882-0F02E96B9D0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F6964C-6DC3-49EB-B2CF-D3EFA992DD6C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34AF5E-289E-49DF-93ED-7B0F7DD1D9D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EEE47F-ED55-4038-8CF6-A6769DB4E1B3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371834-D6B6-4C6E-B1F2-F1CDAD2F59EC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5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5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5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5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5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5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5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5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5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5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5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5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5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7EB1C9-D8E4-4E4F-B489-5331187ADA84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F130BC50-9085-4CEE-AA3E-B5F2705D05BC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61670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>
        <a:xfrm>
          <a:off x="5341620" y="475615"/>
          <a:ext cx="119380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>
          <a:cxnSpLocks noChangeShapeType="1"/>
        </xdr:cNvCxnSpPr>
      </xdr:nvCxnSpPr>
      <xdr:spPr>
        <a:xfrm>
          <a:off x="0" y="9714865"/>
          <a:ext cx="6419850" cy="1587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 flipH="1">
          <a:off x="611332" y="1239239"/>
          <a:ext cx="3790579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6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6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6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6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6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6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6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6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6393" name="Check 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6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6394" name="Check 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6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6395" name="Check 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6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6396" name="Check 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6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6397" name="Check 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6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560070" y="7729855"/>
          <a:ext cx="2060575" cy="20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4" name="TextBox 1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583565" y="769683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DCCC5-13E1-4653-8FBB-8A5B0BED19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092CDC-37CC-4B24-ABEE-391F81FE44F1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9DC423B-B9D0-441C-8704-1366D05B1907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F25481A-306D-4F08-AF8D-C38F31A47155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5CAF51A-187B-4F6C-98DD-FA9566697587}"/>
            </a:ext>
          </a:extLst>
        </xdr:cNvPr>
        <xdr:cNvSpPr txBox="1"/>
      </xdr:nvSpPr>
      <xdr:spPr>
        <a:xfrm>
          <a:off x="0" y="1019176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2101110-3191-48E7-B164-42EAEE8AD867}"/>
            </a:ext>
          </a:extLst>
        </xdr:cNvPr>
        <xdr:cNvCxnSpPr>
          <a:cxnSpLocks noChangeShapeType="1"/>
        </xdr:cNvCxnSpPr>
      </xdr:nvCxnSpPr>
      <xdr:spPr>
        <a:xfrm>
          <a:off x="0" y="9714896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2ED2563-43FD-4E6B-9524-C0EBB6F7BF88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14689" name="Check Box 1" hidden="1">
              <a:extLst>
                <a:ext uri="{63B3BB69-23CF-44E3-9099-C40C66FF867C}">
                  <a14:compatExt spid="_x0000_s114689"/>
                </a:ext>
                <a:ext uri="{FF2B5EF4-FFF2-40B4-BE49-F238E27FC236}">
                  <a16:creationId xmlns:a16="http://schemas.microsoft.com/office/drawing/2014/main" id="{00000000-0008-0000-0700-000001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14690" name="Check Box 2" hidden="1">
              <a:extLst>
                <a:ext uri="{63B3BB69-23CF-44E3-9099-C40C66FF867C}">
                  <a14:compatExt spid="_x0000_s114690"/>
                </a:ext>
                <a:ext uri="{FF2B5EF4-FFF2-40B4-BE49-F238E27FC236}">
                  <a16:creationId xmlns:a16="http://schemas.microsoft.com/office/drawing/2014/main" id="{00000000-0008-0000-0700-000002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14691" name="Check Box 3" hidden="1">
              <a:extLst>
                <a:ext uri="{63B3BB69-23CF-44E3-9099-C40C66FF867C}">
                  <a14:compatExt spid="_x0000_s114691"/>
                </a:ext>
                <a:ext uri="{FF2B5EF4-FFF2-40B4-BE49-F238E27FC236}">
                  <a16:creationId xmlns:a16="http://schemas.microsoft.com/office/drawing/2014/main" id="{00000000-0008-0000-0700-000003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14692" name="Check Box 4" hidden="1">
              <a:extLst>
                <a:ext uri="{63B3BB69-23CF-44E3-9099-C40C66FF867C}">
                  <a14:compatExt spid="_x0000_s114692"/>
                </a:ext>
                <a:ext uri="{FF2B5EF4-FFF2-40B4-BE49-F238E27FC236}">
                  <a16:creationId xmlns:a16="http://schemas.microsoft.com/office/drawing/2014/main" id="{00000000-0008-0000-0700-000004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14693" name="Check Box 5" hidden="1">
              <a:extLst>
                <a:ext uri="{63B3BB69-23CF-44E3-9099-C40C66FF867C}">
                  <a14:compatExt spid="_x0000_s114693"/>
                </a:ext>
                <a:ext uri="{FF2B5EF4-FFF2-40B4-BE49-F238E27FC236}">
                  <a16:creationId xmlns:a16="http://schemas.microsoft.com/office/drawing/2014/main" id="{00000000-0008-0000-0700-000005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14694" name="Check Box 6" hidden="1">
              <a:extLst>
                <a:ext uri="{63B3BB69-23CF-44E3-9099-C40C66FF867C}">
                  <a14:compatExt spid="_x0000_s114694"/>
                </a:ext>
                <a:ext uri="{FF2B5EF4-FFF2-40B4-BE49-F238E27FC236}">
                  <a16:creationId xmlns:a16="http://schemas.microsoft.com/office/drawing/2014/main" id="{00000000-0008-0000-0700-000006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14695" name="Check Box 7" hidden="1">
              <a:extLst>
                <a:ext uri="{63B3BB69-23CF-44E3-9099-C40C66FF867C}">
                  <a14:compatExt spid="_x0000_s114695"/>
                </a:ext>
                <a:ext uri="{FF2B5EF4-FFF2-40B4-BE49-F238E27FC236}">
                  <a16:creationId xmlns:a16="http://schemas.microsoft.com/office/drawing/2014/main" id="{00000000-0008-0000-0700-000007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14696" name="Check Box 8" hidden="1">
              <a:extLst>
                <a:ext uri="{63B3BB69-23CF-44E3-9099-C40C66FF867C}">
                  <a14:compatExt spid="_x0000_s114696"/>
                </a:ext>
                <a:ext uri="{FF2B5EF4-FFF2-40B4-BE49-F238E27FC236}">
                  <a16:creationId xmlns:a16="http://schemas.microsoft.com/office/drawing/2014/main" id="{00000000-0008-0000-0700-000008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14697" name="Check Box 9" hidden="1">
              <a:extLst>
                <a:ext uri="{63B3BB69-23CF-44E3-9099-C40C66FF867C}">
                  <a14:compatExt spid="_x0000_s114697"/>
                </a:ext>
                <a:ext uri="{FF2B5EF4-FFF2-40B4-BE49-F238E27FC236}">
                  <a16:creationId xmlns:a16="http://schemas.microsoft.com/office/drawing/2014/main" id="{00000000-0008-0000-0700-000009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14698" name="Check Box 10" hidden="1">
              <a:extLst>
                <a:ext uri="{63B3BB69-23CF-44E3-9099-C40C66FF867C}">
                  <a14:compatExt spid="_x0000_s114698"/>
                </a:ext>
                <a:ext uri="{FF2B5EF4-FFF2-40B4-BE49-F238E27FC236}">
                  <a16:creationId xmlns:a16="http://schemas.microsoft.com/office/drawing/2014/main" id="{00000000-0008-0000-0700-00000A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14699" name="Check Box 11" hidden="1">
              <a:extLst>
                <a:ext uri="{63B3BB69-23CF-44E3-9099-C40C66FF867C}">
                  <a14:compatExt spid="_x0000_s114699"/>
                </a:ext>
                <a:ext uri="{FF2B5EF4-FFF2-40B4-BE49-F238E27FC236}">
                  <a16:creationId xmlns:a16="http://schemas.microsoft.com/office/drawing/2014/main" id="{00000000-0008-0000-0700-00000B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14700" name="Check Box 12" hidden="1">
              <a:extLst>
                <a:ext uri="{63B3BB69-23CF-44E3-9099-C40C66FF867C}">
                  <a14:compatExt spid="_x0000_s114700"/>
                </a:ext>
                <a:ext uri="{FF2B5EF4-FFF2-40B4-BE49-F238E27FC236}">
                  <a16:creationId xmlns:a16="http://schemas.microsoft.com/office/drawing/2014/main" id="{00000000-0008-0000-0700-00000C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14701" name="Check Box 13" hidden="1">
              <a:extLst>
                <a:ext uri="{63B3BB69-23CF-44E3-9099-C40C66FF867C}">
                  <a14:compatExt spid="_x0000_s114701"/>
                </a:ext>
                <a:ext uri="{FF2B5EF4-FFF2-40B4-BE49-F238E27FC236}">
                  <a16:creationId xmlns:a16="http://schemas.microsoft.com/office/drawing/2014/main" id="{00000000-0008-0000-0700-00000D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1F875E0-A571-40F9-9B6B-1D3379E5AE20}"/>
            </a:ext>
          </a:extLst>
        </xdr:cNvPr>
        <xdr:cNvSpPr txBox="1"/>
      </xdr:nvSpPr>
      <xdr:spPr>
        <a:xfrm>
          <a:off x="560614" y="7730219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72BB0385-4045-41E2-978C-85101DBA71D2}"/>
            </a:ext>
          </a:extLst>
        </xdr:cNvPr>
        <xdr:cNvSpPr txBox="1"/>
      </xdr:nvSpPr>
      <xdr:spPr>
        <a:xfrm>
          <a:off x="583565" y="769683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1E7550-753A-49A7-8C71-B46EDE716F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ADADA2-42B8-4068-946D-F4FDDC999299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33BDD3C-2EA1-4F40-BA5D-49602C95073E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C03D69-3E94-4E17-8E3D-9154782747FB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640B0B-2407-4690-8E24-8CACDC755A4A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1A250AB-669D-4013-B5D5-0DA4EB5FAFCD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6E5024C-67F5-4EF9-9907-280A797DE2AD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84993" name="Check Box 1" hidden="1">
              <a:extLst>
                <a:ext uri="{63B3BB69-23CF-44E3-9099-C40C66FF867C}">
                  <a14:compatExt spid="_x0000_s84993"/>
                </a:ext>
                <a:ext uri="{FF2B5EF4-FFF2-40B4-BE49-F238E27FC236}">
                  <a16:creationId xmlns:a16="http://schemas.microsoft.com/office/drawing/2014/main" id="{00000000-0008-0000-0800-000001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84994" name="Check Box 2" hidden="1">
              <a:extLst>
                <a:ext uri="{63B3BB69-23CF-44E3-9099-C40C66FF867C}">
                  <a14:compatExt spid="_x0000_s84994"/>
                </a:ext>
                <a:ext uri="{FF2B5EF4-FFF2-40B4-BE49-F238E27FC236}">
                  <a16:creationId xmlns:a16="http://schemas.microsoft.com/office/drawing/2014/main" id="{00000000-0008-0000-0800-000002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84995" name="Check Box 3" hidden="1">
              <a:extLst>
                <a:ext uri="{63B3BB69-23CF-44E3-9099-C40C66FF867C}">
                  <a14:compatExt spid="_x0000_s84995"/>
                </a:ext>
                <a:ext uri="{FF2B5EF4-FFF2-40B4-BE49-F238E27FC236}">
                  <a16:creationId xmlns:a16="http://schemas.microsoft.com/office/drawing/2014/main" id="{00000000-0008-0000-0800-000003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84996" name="Check Box 4" hidden="1">
              <a:extLst>
                <a:ext uri="{63B3BB69-23CF-44E3-9099-C40C66FF867C}">
                  <a14:compatExt spid="_x0000_s84996"/>
                </a:ext>
                <a:ext uri="{FF2B5EF4-FFF2-40B4-BE49-F238E27FC236}">
                  <a16:creationId xmlns:a16="http://schemas.microsoft.com/office/drawing/2014/main" id="{00000000-0008-0000-0800-000004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84997" name="Check Box 5" hidden="1">
              <a:extLst>
                <a:ext uri="{63B3BB69-23CF-44E3-9099-C40C66FF867C}">
                  <a14:compatExt spid="_x0000_s84997"/>
                </a:ext>
                <a:ext uri="{FF2B5EF4-FFF2-40B4-BE49-F238E27FC236}">
                  <a16:creationId xmlns:a16="http://schemas.microsoft.com/office/drawing/2014/main" id="{00000000-0008-0000-0800-000005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84998" name="Check Box 6" hidden="1">
              <a:extLst>
                <a:ext uri="{63B3BB69-23CF-44E3-9099-C40C66FF867C}">
                  <a14:compatExt spid="_x0000_s84998"/>
                </a:ext>
                <a:ext uri="{FF2B5EF4-FFF2-40B4-BE49-F238E27FC236}">
                  <a16:creationId xmlns:a16="http://schemas.microsoft.com/office/drawing/2014/main" id="{00000000-0008-0000-0800-000006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84999" name="Check Box 7" hidden="1">
              <a:extLst>
                <a:ext uri="{63B3BB69-23CF-44E3-9099-C40C66FF867C}">
                  <a14:compatExt spid="_x0000_s84999"/>
                </a:ext>
                <a:ext uri="{FF2B5EF4-FFF2-40B4-BE49-F238E27FC236}">
                  <a16:creationId xmlns:a16="http://schemas.microsoft.com/office/drawing/2014/main" id="{00000000-0008-0000-0800-000007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85000" name="Check Box 8" hidden="1">
              <a:extLst>
                <a:ext uri="{63B3BB69-23CF-44E3-9099-C40C66FF867C}">
                  <a14:compatExt spid="_x0000_s85000"/>
                </a:ext>
                <a:ext uri="{FF2B5EF4-FFF2-40B4-BE49-F238E27FC236}">
                  <a16:creationId xmlns:a16="http://schemas.microsoft.com/office/drawing/2014/main" id="{00000000-0008-0000-0800-000008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85001" name="Check Box 9" hidden="1">
              <a:extLst>
                <a:ext uri="{63B3BB69-23CF-44E3-9099-C40C66FF867C}">
                  <a14:compatExt spid="_x0000_s85001"/>
                </a:ext>
                <a:ext uri="{FF2B5EF4-FFF2-40B4-BE49-F238E27FC236}">
                  <a16:creationId xmlns:a16="http://schemas.microsoft.com/office/drawing/2014/main" id="{00000000-0008-0000-0800-000009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85002" name="Check Box 10" hidden="1">
              <a:extLst>
                <a:ext uri="{63B3BB69-23CF-44E3-9099-C40C66FF867C}">
                  <a14:compatExt spid="_x0000_s85002"/>
                </a:ext>
                <a:ext uri="{FF2B5EF4-FFF2-40B4-BE49-F238E27FC236}">
                  <a16:creationId xmlns:a16="http://schemas.microsoft.com/office/drawing/2014/main" id="{00000000-0008-0000-0800-00000A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85003" name="Check Box 11" hidden="1">
              <a:extLst>
                <a:ext uri="{63B3BB69-23CF-44E3-9099-C40C66FF867C}">
                  <a14:compatExt spid="_x0000_s85003"/>
                </a:ext>
                <a:ext uri="{FF2B5EF4-FFF2-40B4-BE49-F238E27FC236}">
                  <a16:creationId xmlns:a16="http://schemas.microsoft.com/office/drawing/2014/main" id="{00000000-0008-0000-0800-00000B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85004" name="Check Box 12" hidden="1">
              <a:extLst>
                <a:ext uri="{63B3BB69-23CF-44E3-9099-C40C66FF867C}">
                  <a14:compatExt spid="_x0000_s85004"/>
                </a:ext>
                <a:ext uri="{FF2B5EF4-FFF2-40B4-BE49-F238E27FC236}">
                  <a16:creationId xmlns:a16="http://schemas.microsoft.com/office/drawing/2014/main" id="{00000000-0008-0000-0800-00000C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85005" name="Check Box 13" hidden="1">
              <a:extLst>
                <a:ext uri="{63B3BB69-23CF-44E3-9099-C40C66FF867C}">
                  <a14:compatExt spid="_x0000_s85005"/>
                </a:ext>
                <a:ext uri="{FF2B5EF4-FFF2-40B4-BE49-F238E27FC236}">
                  <a16:creationId xmlns:a16="http://schemas.microsoft.com/office/drawing/2014/main" id="{00000000-0008-0000-0800-00000D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279D8F-684B-45A4-B7C7-9182878287D3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75256272-0CC3-4736-AA7B-7A74E69A5021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537483</xdr:colOff>
      <xdr:row>39</xdr:row>
      <xdr:rowOff>20411</xdr:rowOff>
    </xdr:from>
    <xdr:to>
      <xdr:col>1</xdr:col>
      <xdr:colOff>816428</xdr:colOff>
      <xdr:row>40</xdr:row>
      <xdr:rowOff>34019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37483" y="7573736"/>
          <a:ext cx="2202995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H="1">
          <a:off x="611332" y="1258289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66561" name="Check Box 1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09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66562" name="Check Box 2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09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66563" name="Check Box 3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09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66564" name="Check Box 4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09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66565" name="Check Box 5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09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66566" name="Check Box 6" hidden="1">
              <a:extLst>
                <a:ext uri="{63B3BB69-23CF-44E3-9099-C40C66FF867C}">
                  <a14:compatExt spid="_x0000_s66566"/>
                </a:ext>
                <a:ext uri="{FF2B5EF4-FFF2-40B4-BE49-F238E27FC236}">
                  <a16:creationId xmlns:a16="http://schemas.microsoft.com/office/drawing/2014/main" id="{00000000-0008-0000-0900-00000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66567" name="Check Box 7" hidden="1">
              <a:extLst>
                <a:ext uri="{63B3BB69-23CF-44E3-9099-C40C66FF867C}">
                  <a14:compatExt spid="_x0000_s66567"/>
                </a:ext>
                <a:ext uri="{FF2B5EF4-FFF2-40B4-BE49-F238E27FC236}">
                  <a16:creationId xmlns:a16="http://schemas.microsoft.com/office/drawing/2014/main" id="{00000000-0008-0000-0900-00000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66568" name="Check Box 8" hidden="1">
              <a:extLst>
                <a:ext uri="{63B3BB69-23CF-44E3-9099-C40C66FF867C}">
                  <a14:compatExt spid="_x0000_s66568"/>
                </a:ext>
                <a:ext uri="{FF2B5EF4-FFF2-40B4-BE49-F238E27FC236}">
                  <a16:creationId xmlns:a16="http://schemas.microsoft.com/office/drawing/2014/main" id="{00000000-0008-0000-0900-00000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66569" name="Check Box 9" hidden="1">
              <a:extLst>
                <a:ext uri="{63B3BB69-23CF-44E3-9099-C40C66FF867C}">
                  <a14:compatExt spid="_x0000_s66569"/>
                </a:ext>
                <a:ext uri="{FF2B5EF4-FFF2-40B4-BE49-F238E27FC236}">
                  <a16:creationId xmlns:a16="http://schemas.microsoft.com/office/drawing/2014/main" id="{00000000-0008-0000-0900-00000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66570" name="Check Box 10" hidden="1">
              <a:extLst>
                <a:ext uri="{63B3BB69-23CF-44E3-9099-C40C66FF867C}">
                  <a14:compatExt spid="_x0000_s66570"/>
                </a:ext>
                <a:ext uri="{FF2B5EF4-FFF2-40B4-BE49-F238E27FC236}">
                  <a16:creationId xmlns:a16="http://schemas.microsoft.com/office/drawing/2014/main" id="{00000000-0008-0000-0900-00000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66571" name="Check Box 11" hidden="1">
              <a:extLst>
                <a:ext uri="{63B3BB69-23CF-44E3-9099-C40C66FF867C}">
                  <a14:compatExt spid="_x0000_s66571"/>
                </a:ext>
                <a:ext uri="{FF2B5EF4-FFF2-40B4-BE49-F238E27FC236}">
                  <a16:creationId xmlns:a16="http://schemas.microsoft.com/office/drawing/2014/main" id="{00000000-0008-0000-0900-00000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66572" name="Check Box 12" hidden="1">
              <a:extLst>
                <a:ext uri="{63B3BB69-23CF-44E3-9099-C40C66FF867C}">
                  <a14:compatExt spid="_x0000_s66572"/>
                </a:ext>
                <a:ext uri="{FF2B5EF4-FFF2-40B4-BE49-F238E27FC236}">
                  <a16:creationId xmlns:a16="http://schemas.microsoft.com/office/drawing/2014/main" id="{00000000-0008-0000-0900-00000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66573" name="Check Box 13" hidden="1">
              <a:extLst>
                <a:ext uri="{63B3BB69-23CF-44E3-9099-C40C66FF867C}">
                  <a14:compatExt spid="_x0000_s66573"/>
                </a:ext>
                <a:ext uri="{FF2B5EF4-FFF2-40B4-BE49-F238E27FC236}">
                  <a16:creationId xmlns:a16="http://schemas.microsoft.com/office/drawing/2014/main" id="{00000000-0008-0000-0900-00000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537482</xdr:colOff>
      <xdr:row>37</xdr:row>
      <xdr:rowOff>176893</xdr:rowOff>
    </xdr:from>
    <xdr:to>
      <xdr:col>1</xdr:col>
      <xdr:colOff>673553</xdr:colOff>
      <xdr:row>39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37482" y="7349218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OVERTIME PAYMENT			</a:t>
          </a:r>
        </a:p>
      </xdr:txBody>
    </xdr:sp>
    <xdr:clientData/>
  </xdr:twoCellAnchor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3" name="TextBox 1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637540</xdr:colOff>
      <xdr:row>40</xdr:row>
      <xdr:rowOff>173990</xdr:rowOff>
    </xdr:from>
    <xdr:to>
      <xdr:col>2</xdr:col>
      <xdr:colOff>199390</xdr:colOff>
      <xdr:row>41</xdr:row>
      <xdr:rowOff>187325</xdr:rowOff>
    </xdr:to>
    <xdr:sp macro="" textlink="">
      <xdr:nvSpPr>
        <xdr:cNvPr id="14" name="TextBox 1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637540" y="791781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="1" baseline="0"/>
        </a:p>
      </xdr:txBody>
    </xdr:sp>
    <xdr:clientData/>
  </xdr:twoCellAnchor>
  <xdr:twoCellAnchor>
    <xdr:from>
      <xdr:col>0</xdr:col>
      <xdr:colOff>574041</xdr:colOff>
      <xdr:row>38</xdr:row>
      <xdr:rowOff>150949</xdr:rowOff>
    </xdr:from>
    <xdr:to>
      <xdr:col>2</xdr:col>
      <xdr:colOff>135890</xdr:colOff>
      <xdr:row>39</xdr:row>
      <xdr:rowOff>164557</xdr:rowOff>
    </xdr:to>
    <xdr:sp macro="" textlink="">
      <xdr:nvSpPr>
        <xdr:cNvPr id="15" name="TextBox 1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74041" y="7513774"/>
          <a:ext cx="2438399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530678</xdr:colOff>
      <xdr:row>38</xdr:row>
      <xdr:rowOff>171449</xdr:rowOff>
    </xdr:from>
    <xdr:to>
      <xdr:col>1</xdr:col>
      <xdr:colOff>666749</xdr:colOff>
      <xdr:row>39</xdr:row>
      <xdr:rowOff>185057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D84C2B-6D7C-44E3-B627-B06F58028606}"/>
            </a:ext>
          </a:extLst>
        </xdr:cNvPr>
        <xdr:cNvSpPr txBox="1"/>
      </xdr:nvSpPr>
      <xdr:spPr>
        <a:xfrm>
          <a:off x="530678" y="7526110"/>
          <a:ext cx="2061482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RED CARPET			</a:t>
          </a:r>
        </a:p>
      </xdr:txBody>
    </xdr:sp>
    <xdr:clientData/>
  </xdr:twoCellAnchor>
  <xdr:twoCellAnchor>
    <xdr:from>
      <xdr:col>0</xdr:col>
      <xdr:colOff>533398</xdr:colOff>
      <xdr:row>39</xdr:row>
      <xdr:rowOff>160563</xdr:rowOff>
    </xdr:from>
    <xdr:to>
      <xdr:col>1</xdr:col>
      <xdr:colOff>734784</xdr:colOff>
      <xdr:row>40</xdr:row>
      <xdr:rowOff>174171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ECCDA18-5EB2-4E61-A92C-DBB39B44EB35}"/>
            </a:ext>
          </a:extLst>
        </xdr:cNvPr>
        <xdr:cNvSpPr txBox="1"/>
      </xdr:nvSpPr>
      <xdr:spPr>
        <a:xfrm>
          <a:off x="533398" y="7705724"/>
          <a:ext cx="2126797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ADDITIONAL CHARGE:  LED WALL			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537483</xdr:colOff>
      <xdr:row>39</xdr:row>
      <xdr:rowOff>20411</xdr:rowOff>
    </xdr:from>
    <xdr:to>
      <xdr:col>1</xdr:col>
      <xdr:colOff>816428</xdr:colOff>
      <xdr:row>40</xdr:row>
      <xdr:rowOff>34019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37210" y="7564120"/>
          <a:ext cx="2202815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61670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>
        <a:xfrm>
          <a:off x="5341620" y="475615"/>
          <a:ext cx="119380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>
          <a:cxnSpLocks noChangeShapeType="1"/>
        </xdr:cNvCxnSpPr>
      </xdr:nvCxnSpPr>
      <xdr:spPr>
        <a:xfrm>
          <a:off x="0" y="9714865"/>
          <a:ext cx="6419850" cy="1587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H="1">
          <a:off x="610870" y="1248410"/>
          <a:ext cx="37896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26625" name="Check Box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A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26626" name="Check Box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A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26627" name="Check Box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A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26628" name="Check Box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A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26629" name="Check Box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A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26630" name="Check Box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A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26631" name="Check Box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A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26632" name="Check Box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A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26633" name="Check Box 9" hidden="1">
              <a:extLst>
                <a:ext uri="{63B3BB69-23CF-44E3-9099-C40C66FF867C}">
                  <a14:compatExt spid="_x0000_s26633"/>
                </a:ext>
                <a:ext uri="{FF2B5EF4-FFF2-40B4-BE49-F238E27FC236}">
                  <a16:creationId xmlns:a16="http://schemas.microsoft.com/office/drawing/2014/main" id="{00000000-0008-0000-0A00-000009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26634" name="Check Box 10" hidden="1">
              <a:extLst>
                <a:ext uri="{63B3BB69-23CF-44E3-9099-C40C66FF867C}">
                  <a14:compatExt spid="_x0000_s26634"/>
                </a:ext>
                <a:ext uri="{FF2B5EF4-FFF2-40B4-BE49-F238E27FC236}">
                  <a16:creationId xmlns:a16="http://schemas.microsoft.com/office/drawing/2014/main" id="{00000000-0008-0000-0A00-00000A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26635" name="Check Box 11" hidden="1">
              <a:extLst>
                <a:ext uri="{63B3BB69-23CF-44E3-9099-C40C66FF867C}">
                  <a14:compatExt spid="_x0000_s26635"/>
                </a:ext>
                <a:ext uri="{FF2B5EF4-FFF2-40B4-BE49-F238E27FC236}">
                  <a16:creationId xmlns:a16="http://schemas.microsoft.com/office/drawing/2014/main" id="{00000000-0008-0000-0A00-00000B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26636" name="Check Box 12" hidden="1">
              <a:extLst>
                <a:ext uri="{63B3BB69-23CF-44E3-9099-C40C66FF867C}">
                  <a14:compatExt spid="_x0000_s26636"/>
                </a:ext>
                <a:ext uri="{FF2B5EF4-FFF2-40B4-BE49-F238E27FC236}">
                  <a16:creationId xmlns:a16="http://schemas.microsoft.com/office/drawing/2014/main" id="{00000000-0008-0000-0A00-00000C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26637" name="Check Box 13" hidden="1">
              <a:extLst>
                <a:ext uri="{63B3BB69-23CF-44E3-9099-C40C66FF867C}">
                  <a14:compatExt spid="_x0000_s26637"/>
                </a:ext>
                <a:ext uri="{FF2B5EF4-FFF2-40B4-BE49-F238E27FC236}">
                  <a16:creationId xmlns:a16="http://schemas.microsoft.com/office/drawing/2014/main" id="{00000000-0008-0000-0A00-00000D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537482</xdr:colOff>
      <xdr:row>37</xdr:row>
      <xdr:rowOff>176893</xdr:rowOff>
    </xdr:from>
    <xdr:to>
      <xdr:col>1</xdr:col>
      <xdr:colOff>673553</xdr:colOff>
      <xdr:row>39</xdr:row>
      <xdr:rowOff>1</xdr:rowOff>
    </xdr:to>
    <xdr:sp macro="" textlink="">
      <xdr:nvSpPr>
        <xdr:cNvPr id="23" name="TextBox 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537210" y="7339330"/>
          <a:ext cx="2059940" cy="20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		</a:t>
          </a:r>
        </a:p>
      </xdr:txBody>
    </xdr:sp>
    <xdr:clientData/>
  </xdr:twoCellAnchor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24" name="TextBox 10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560070" y="7729855"/>
          <a:ext cx="2060575" cy="20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574222</xdr:colOff>
      <xdr:row>37</xdr:row>
      <xdr:rowOff>172811</xdr:rowOff>
    </xdr:from>
    <xdr:to>
      <xdr:col>2</xdr:col>
      <xdr:colOff>136071</xdr:colOff>
      <xdr:row>38</xdr:row>
      <xdr:rowOff>186419</xdr:rowOff>
    </xdr:to>
    <xdr:sp macro="" textlink="">
      <xdr:nvSpPr>
        <xdr:cNvPr id="25" name="TextBox 1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574040" y="733552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27" name="TextBox 11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583565" y="769683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637540</xdr:colOff>
      <xdr:row>40</xdr:row>
      <xdr:rowOff>173990</xdr:rowOff>
    </xdr:from>
    <xdr:to>
      <xdr:col>2</xdr:col>
      <xdr:colOff>199390</xdr:colOff>
      <xdr:row>41</xdr:row>
      <xdr:rowOff>187325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637540" y="790829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="1" baseline="0"/>
        </a:p>
      </xdr:txBody>
    </xdr:sp>
    <xdr:clientData/>
  </xdr:twoCellAnchor>
  <xdr:twoCellAnchor>
    <xdr:from>
      <xdr:col>0</xdr:col>
      <xdr:colOff>574041</xdr:colOff>
      <xdr:row>38</xdr:row>
      <xdr:rowOff>150949</xdr:rowOff>
    </xdr:from>
    <xdr:to>
      <xdr:col>2</xdr:col>
      <xdr:colOff>135890</xdr:colOff>
      <xdr:row>39</xdr:row>
      <xdr:rowOff>164557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74041" y="7505610"/>
          <a:ext cx="2439760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CxnSpPr/>
      </xdr:nvCxnSpPr>
      <xdr:spPr>
        <a:xfrm flipH="1">
          <a:off x="611332" y="1258289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45057" name="Check Box 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00000000-0008-0000-0B00-000001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45058" name="Check Box 2" hidden="1">
              <a:extLst>
                <a:ext uri="{63B3BB69-23CF-44E3-9099-C40C66FF867C}">
                  <a14:compatExt spid="_x0000_s45058"/>
                </a:ext>
                <a:ext uri="{FF2B5EF4-FFF2-40B4-BE49-F238E27FC236}">
                  <a16:creationId xmlns:a16="http://schemas.microsoft.com/office/drawing/2014/main" id="{00000000-0008-0000-0B00-000002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45059" name="Check Box 3" hidden="1">
              <a:extLst>
                <a:ext uri="{63B3BB69-23CF-44E3-9099-C40C66FF867C}">
                  <a14:compatExt spid="_x0000_s45059"/>
                </a:ext>
                <a:ext uri="{FF2B5EF4-FFF2-40B4-BE49-F238E27FC236}">
                  <a16:creationId xmlns:a16="http://schemas.microsoft.com/office/drawing/2014/main" id="{00000000-0008-0000-0B00-000003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45060" name="Check Box 4" hidden="1">
              <a:extLst>
                <a:ext uri="{63B3BB69-23CF-44E3-9099-C40C66FF867C}">
                  <a14:compatExt spid="_x0000_s45060"/>
                </a:ext>
                <a:ext uri="{FF2B5EF4-FFF2-40B4-BE49-F238E27FC236}">
                  <a16:creationId xmlns:a16="http://schemas.microsoft.com/office/drawing/2014/main" id="{00000000-0008-0000-0B00-000004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45061" name="Check Box 5" hidden="1">
              <a:extLst>
                <a:ext uri="{63B3BB69-23CF-44E3-9099-C40C66FF867C}">
                  <a14:compatExt spid="_x0000_s45061"/>
                </a:ext>
                <a:ext uri="{FF2B5EF4-FFF2-40B4-BE49-F238E27FC236}">
                  <a16:creationId xmlns:a16="http://schemas.microsoft.com/office/drawing/2014/main" id="{00000000-0008-0000-0B00-000005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45062" name="Check Box 6" hidden="1">
              <a:extLst>
                <a:ext uri="{63B3BB69-23CF-44E3-9099-C40C66FF867C}">
                  <a14:compatExt spid="_x0000_s45062"/>
                </a:ext>
                <a:ext uri="{FF2B5EF4-FFF2-40B4-BE49-F238E27FC236}">
                  <a16:creationId xmlns:a16="http://schemas.microsoft.com/office/drawing/2014/main" id="{00000000-0008-0000-0B00-000006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45063" name="Check Box 7" hidden="1">
              <a:extLst>
                <a:ext uri="{63B3BB69-23CF-44E3-9099-C40C66FF867C}">
                  <a14:compatExt spid="_x0000_s45063"/>
                </a:ext>
                <a:ext uri="{FF2B5EF4-FFF2-40B4-BE49-F238E27FC236}">
                  <a16:creationId xmlns:a16="http://schemas.microsoft.com/office/drawing/2014/main" id="{00000000-0008-0000-0B00-000007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45064" name="Check Box 8" hidden="1">
              <a:extLst>
                <a:ext uri="{63B3BB69-23CF-44E3-9099-C40C66FF867C}">
                  <a14:compatExt spid="_x0000_s45064"/>
                </a:ext>
                <a:ext uri="{FF2B5EF4-FFF2-40B4-BE49-F238E27FC236}">
                  <a16:creationId xmlns:a16="http://schemas.microsoft.com/office/drawing/2014/main" id="{00000000-0008-0000-0B00-000008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45065" name="Check Box 9" hidden="1">
              <a:extLst>
                <a:ext uri="{63B3BB69-23CF-44E3-9099-C40C66FF867C}">
                  <a14:compatExt spid="_x0000_s45065"/>
                </a:ext>
                <a:ext uri="{FF2B5EF4-FFF2-40B4-BE49-F238E27FC236}">
                  <a16:creationId xmlns:a16="http://schemas.microsoft.com/office/drawing/2014/main" id="{00000000-0008-0000-0B00-000009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45066" name="Check Box 10" hidden="1">
              <a:extLst>
                <a:ext uri="{63B3BB69-23CF-44E3-9099-C40C66FF867C}">
                  <a14:compatExt spid="_x0000_s45066"/>
                </a:ext>
                <a:ext uri="{FF2B5EF4-FFF2-40B4-BE49-F238E27FC236}">
                  <a16:creationId xmlns:a16="http://schemas.microsoft.com/office/drawing/2014/main" id="{00000000-0008-0000-0B00-00000A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45067" name="Check Box 11" hidden="1">
              <a:extLst>
                <a:ext uri="{63B3BB69-23CF-44E3-9099-C40C66FF867C}">
                  <a14:compatExt spid="_x0000_s45067"/>
                </a:ext>
                <a:ext uri="{FF2B5EF4-FFF2-40B4-BE49-F238E27FC236}">
                  <a16:creationId xmlns:a16="http://schemas.microsoft.com/office/drawing/2014/main" id="{00000000-0008-0000-0B00-00000B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45068" name="Check Box 12" hidden="1">
              <a:extLst>
                <a:ext uri="{63B3BB69-23CF-44E3-9099-C40C66FF867C}">
                  <a14:compatExt spid="_x0000_s45068"/>
                </a:ext>
                <a:ext uri="{FF2B5EF4-FFF2-40B4-BE49-F238E27FC236}">
                  <a16:creationId xmlns:a16="http://schemas.microsoft.com/office/drawing/2014/main" id="{00000000-0008-0000-0B00-00000C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45069" name="Check Box 13" hidden="1">
              <a:extLst>
                <a:ext uri="{63B3BB69-23CF-44E3-9099-C40C66FF867C}">
                  <a14:compatExt spid="_x0000_s45069"/>
                </a:ext>
                <a:ext uri="{FF2B5EF4-FFF2-40B4-BE49-F238E27FC236}">
                  <a16:creationId xmlns:a16="http://schemas.microsoft.com/office/drawing/2014/main" id="{00000000-0008-0000-0B00-00000D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3" name="TextBox 1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637540</xdr:colOff>
      <xdr:row>40</xdr:row>
      <xdr:rowOff>173990</xdr:rowOff>
    </xdr:from>
    <xdr:to>
      <xdr:col>2</xdr:col>
      <xdr:colOff>199390</xdr:colOff>
      <xdr:row>41</xdr:row>
      <xdr:rowOff>187325</xdr:rowOff>
    </xdr:to>
    <xdr:sp macro="" textlink="">
      <xdr:nvSpPr>
        <xdr:cNvPr id="14" name="TextBox 11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637540" y="791781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="1" baseline="0"/>
        </a:p>
      </xdr:txBody>
    </xdr:sp>
    <xdr:clientData/>
  </xdr:twoCellAnchor>
  <xdr:twoCellAnchor>
    <xdr:from>
      <xdr:col>0</xdr:col>
      <xdr:colOff>608059</xdr:colOff>
      <xdr:row>39</xdr:row>
      <xdr:rowOff>178162</xdr:rowOff>
    </xdr:from>
    <xdr:to>
      <xdr:col>2</xdr:col>
      <xdr:colOff>169908</xdr:colOff>
      <xdr:row>41</xdr:row>
      <xdr:rowOff>27213</xdr:rowOff>
    </xdr:to>
    <xdr:sp macro="" textlink="">
      <xdr:nvSpPr>
        <xdr:cNvPr id="16" name="TextBox 1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08059" y="7770948"/>
          <a:ext cx="2439760" cy="230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700769</xdr:colOff>
      <xdr:row>37</xdr:row>
      <xdr:rowOff>183697</xdr:rowOff>
    </xdr:from>
    <xdr:to>
      <xdr:col>2</xdr:col>
      <xdr:colOff>95251</xdr:colOff>
      <xdr:row>39</xdr:row>
      <xdr:rowOff>37285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9FB65B-5951-415C-A70B-2613BAA73248}"/>
            </a:ext>
          </a:extLst>
        </xdr:cNvPr>
        <xdr:cNvSpPr txBox="1"/>
      </xdr:nvSpPr>
      <xdr:spPr>
        <a:xfrm>
          <a:off x="700769" y="7388679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OVERTIME PAYMENT			</a:t>
          </a:r>
        </a:p>
      </xdr:txBody>
    </xdr:sp>
    <xdr:clientData/>
  </xdr:twoCellAnchor>
  <xdr:twoCellAnchor>
    <xdr:from>
      <xdr:col>0</xdr:col>
      <xdr:colOff>595995</xdr:colOff>
      <xdr:row>40</xdr:row>
      <xdr:rowOff>153761</xdr:rowOff>
    </xdr:from>
    <xdr:to>
      <xdr:col>1</xdr:col>
      <xdr:colOff>942977</xdr:colOff>
      <xdr:row>42</xdr:row>
      <xdr:rowOff>7349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900F70D-5349-4B3B-B533-D610B0305E33}"/>
            </a:ext>
          </a:extLst>
        </xdr:cNvPr>
        <xdr:cNvSpPr txBox="1"/>
      </xdr:nvSpPr>
      <xdr:spPr>
        <a:xfrm>
          <a:off x="595995" y="7930243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			</a:t>
          </a:r>
        </a:p>
      </xdr:txBody>
    </xdr:sp>
    <xdr:clientData/>
  </xdr:twoCellAnchor>
  <xdr:twoCellAnchor>
    <xdr:from>
      <xdr:col>0</xdr:col>
      <xdr:colOff>703490</xdr:colOff>
      <xdr:row>38</xdr:row>
      <xdr:rowOff>186419</xdr:rowOff>
    </xdr:from>
    <xdr:to>
      <xdr:col>2</xdr:col>
      <xdr:colOff>97972</xdr:colOff>
      <xdr:row>40</xdr:row>
      <xdr:rowOff>40007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AF323B0-CFBA-4BB7-BE61-E6B2B3798500}"/>
            </a:ext>
          </a:extLst>
        </xdr:cNvPr>
        <xdr:cNvSpPr txBox="1"/>
      </xdr:nvSpPr>
      <xdr:spPr>
        <a:xfrm>
          <a:off x="703490" y="7581901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ADDITIONAL CHARGE: LIVE BAND			</a:t>
          </a:r>
        </a:p>
      </xdr:txBody>
    </xdr:sp>
    <xdr:clientData/>
  </xdr:twoCellAnchor>
  <xdr:twoCellAnchor>
    <xdr:from>
      <xdr:col>0</xdr:col>
      <xdr:colOff>692605</xdr:colOff>
      <xdr:row>39</xdr:row>
      <xdr:rowOff>155122</xdr:rowOff>
    </xdr:from>
    <xdr:to>
      <xdr:col>2</xdr:col>
      <xdr:colOff>87087</xdr:colOff>
      <xdr:row>41</xdr:row>
      <xdr:rowOff>8710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2F7D5E7-E9C7-4FEB-8AE2-086C431DD38C}"/>
            </a:ext>
          </a:extLst>
        </xdr:cNvPr>
        <xdr:cNvSpPr txBox="1"/>
      </xdr:nvSpPr>
      <xdr:spPr>
        <a:xfrm>
          <a:off x="692605" y="7741104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ADDITIONAL CHARGE: LED WALL			</a:t>
          </a:r>
        </a:p>
      </xdr:txBody>
    </xdr:sp>
    <xdr:clientData/>
  </xdr:twoCellAnchor>
  <xdr:twoCellAnchor>
    <xdr:from>
      <xdr:col>0</xdr:col>
      <xdr:colOff>661309</xdr:colOff>
      <xdr:row>40</xdr:row>
      <xdr:rowOff>164648</xdr:rowOff>
    </xdr:from>
    <xdr:to>
      <xdr:col>2</xdr:col>
      <xdr:colOff>55791</xdr:colOff>
      <xdr:row>42</xdr:row>
      <xdr:rowOff>18236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285AE0D-7BFD-4CBF-9339-0B59622C8B84}"/>
            </a:ext>
          </a:extLst>
        </xdr:cNvPr>
        <xdr:cNvSpPr txBox="1"/>
      </xdr:nvSpPr>
      <xdr:spPr>
        <a:xfrm>
          <a:off x="661309" y="7941130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ADDITIONAL CHARGE: SOUND SYSTEM			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537483</xdr:colOff>
      <xdr:row>39</xdr:row>
      <xdr:rowOff>20411</xdr:rowOff>
    </xdr:from>
    <xdr:to>
      <xdr:col>1</xdr:col>
      <xdr:colOff>816428</xdr:colOff>
      <xdr:row>40</xdr:row>
      <xdr:rowOff>34019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1A7E01-8072-4309-8D37-F44A848C01AE}"/>
            </a:ext>
          </a:extLst>
        </xdr:cNvPr>
        <xdr:cNvSpPr txBox="1"/>
      </xdr:nvSpPr>
      <xdr:spPr>
        <a:xfrm>
          <a:off x="537483" y="7611836"/>
          <a:ext cx="2202995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5976A-2E38-468A-9E9C-3FE82EDD68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7A3D3C-1E11-4029-BA5C-8FC27515F943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9C9B943-EE43-4A32-A5AE-AD1A97C3199D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257860B-34FC-4346-9F2B-A2ED0BF57704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CAE4333-6E40-4D64-A356-34CAFF9C082B}"/>
            </a:ext>
          </a:extLst>
        </xdr:cNvPr>
        <xdr:cNvSpPr txBox="1"/>
      </xdr:nvSpPr>
      <xdr:spPr>
        <a:xfrm>
          <a:off x="0" y="1019176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017324E-E3FD-49D4-A80D-F77EA417E0CD}"/>
            </a:ext>
          </a:extLst>
        </xdr:cNvPr>
        <xdr:cNvCxnSpPr>
          <a:cxnSpLocks noChangeShapeType="1"/>
        </xdr:cNvCxnSpPr>
      </xdr:nvCxnSpPr>
      <xdr:spPr>
        <a:xfrm>
          <a:off x="0" y="97625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3671038-3DE9-4FA2-A469-0C7B6CB2C054}"/>
            </a:ext>
          </a:extLst>
        </xdr:cNvPr>
        <xdr:cNvCxnSpPr/>
      </xdr:nvCxnSpPr>
      <xdr:spPr>
        <a:xfrm flipH="1">
          <a:off x="611332" y="1248764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76801" name="Check Box 1" hidden="1">
              <a:extLst>
                <a:ext uri="{63B3BB69-23CF-44E3-9099-C40C66FF867C}">
                  <a14:compatExt spid="_x0000_s76801"/>
                </a:ext>
                <a:ext uri="{FF2B5EF4-FFF2-40B4-BE49-F238E27FC236}">
                  <a16:creationId xmlns:a16="http://schemas.microsoft.com/office/drawing/2014/main" id="{00000000-0008-0000-0C00-000001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76802" name="Check Box 2" hidden="1">
              <a:extLst>
                <a:ext uri="{63B3BB69-23CF-44E3-9099-C40C66FF867C}">
                  <a14:compatExt spid="_x0000_s76802"/>
                </a:ext>
                <a:ext uri="{FF2B5EF4-FFF2-40B4-BE49-F238E27FC236}">
                  <a16:creationId xmlns:a16="http://schemas.microsoft.com/office/drawing/2014/main" id="{00000000-0008-0000-0C00-000002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76803" name="Check Box 3" hidden="1">
              <a:extLst>
                <a:ext uri="{63B3BB69-23CF-44E3-9099-C40C66FF867C}">
                  <a14:compatExt spid="_x0000_s76803"/>
                </a:ext>
                <a:ext uri="{FF2B5EF4-FFF2-40B4-BE49-F238E27FC236}">
                  <a16:creationId xmlns:a16="http://schemas.microsoft.com/office/drawing/2014/main" id="{00000000-0008-0000-0C00-000003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76804" name="Check Box 4" hidden="1">
              <a:extLst>
                <a:ext uri="{63B3BB69-23CF-44E3-9099-C40C66FF867C}">
                  <a14:compatExt spid="_x0000_s76804"/>
                </a:ext>
                <a:ext uri="{FF2B5EF4-FFF2-40B4-BE49-F238E27FC236}">
                  <a16:creationId xmlns:a16="http://schemas.microsoft.com/office/drawing/2014/main" id="{00000000-0008-0000-0C00-000004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76805" name="Check Box 5" hidden="1">
              <a:extLst>
                <a:ext uri="{63B3BB69-23CF-44E3-9099-C40C66FF867C}">
                  <a14:compatExt spid="_x0000_s76805"/>
                </a:ext>
                <a:ext uri="{FF2B5EF4-FFF2-40B4-BE49-F238E27FC236}">
                  <a16:creationId xmlns:a16="http://schemas.microsoft.com/office/drawing/2014/main" id="{00000000-0008-0000-0C00-000005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76806" name="Check Box 6" hidden="1">
              <a:extLst>
                <a:ext uri="{63B3BB69-23CF-44E3-9099-C40C66FF867C}">
                  <a14:compatExt spid="_x0000_s76806"/>
                </a:ext>
                <a:ext uri="{FF2B5EF4-FFF2-40B4-BE49-F238E27FC236}">
                  <a16:creationId xmlns:a16="http://schemas.microsoft.com/office/drawing/2014/main" id="{00000000-0008-0000-0C00-000006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76807" name="Check Box 7" hidden="1">
              <a:extLst>
                <a:ext uri="{63B3BB69-23CF-44E3-9099-C40C66FF867C}">
                  <a14:compatExt spid="_x0000_s76807"/>
                </a:ext>
                <a:ext uri="{FF2B5EF4-FFF2-40B4-BE49-F238E27FC236}">
                  <a16:creationId xmlns:a16="http://schemas.microsoft.com/office/drawing/2014/main" id="{00000000-0008-0000-0C00-000007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76808" name="Check Box 8" hidden="1">
              <a:extLst>
                <a:ext uri="{63B3BB69-23CF-44E3-9099-C40C66FF867C}">
                  <a14:compatExt spid="_x0000_s76808"/>
                </a:ext>
                <a:ext uri="{FF2B5EF4-FFF2-40B4-BE49-F238E27FC236}">
                  <a16:creationId xmlns:a16="http://schemas.microsoft.com/office/drawing/2014/main" id="{00000000-0008-0000-0C00-000008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76809" name="Check Box 9" hidden="1">
              <a:extLst>
                <a:ext uri="{63B3BB69-23CF-44E3-9099-C40C66FF867C}">
                  <a14:compatExt spid="_x0000_s76809"/>
                </a:ext>
                <a:ext uri="{FF2B5EF4-FFF2-40B4-BE49-F238E27FC236}">
                  <a16:creationId xmlns:a16="http://schemas.microsoft.com/office/drawing/2014/main" id="{00000000-0008-0000-0C00-000009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76810" name="Check Box 10" hidden="1">
              <a:extLst>
                <a:ext uri="{63B3BB69-23CF-44E3-9099-C40C66FF867C}">
                  <a14:compatExt spid="_x0000_s76810"/>
                </a:ext>
                <a:ext uri="{FF2B5EF4-FFF2-40B4-BE49-F238E27FC236}">
                  <a16:creationId xmlns:a16="http://schemas.microsoft.com/office/drawing/2014/main" id="{00000000-0008-0000-0C00-00000A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76811" name="Check Box 11" hidden="1">
              <a:extLst>
                <a:ext uri="{63B3BB69-23CF-44E3-9099-C40C66FF867C}">
                  <a14:compatExt spid="_x0000_s76811"/>
                </a:ext>
                <a:ext uri="{FF2B5EF4-FFF2-40B4-BE49-F238E27FC236}">
                  <a16:creationId xmlns:a16="http://schemas.microsoft.com/office/drawing/2014/main" id="{00000000-0008-0000-0C00-00000B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76812" name="Check Box 12" hidden="1">
              <a:extLst>
                <a:ext uri="{63B3BB69-23CF-44E3-9099-C40C66FF867C}">
                  <a14:compatExt spid="_x0000_s76812"/>
                </a:ext>
                <a:ext uri="{FF2B5EF4-FFF2-40B4-BE49-F238E27FC236}">
                  <a16:creationId xmlns:a16="http://schemas.microsoft.com/office/drawing/2014/main" id="{00000000-0008-0000-0C00-00000C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76813" name="Check Box 13" hidden="1">
              <a:extLst>
                <a:ext uri="{63B3BB69-23CF-44E3-9099-C40C66FF867C}">
                  <a14:compatExt spid="_x0000_s76813"/>
                </a:ext>
                <a:ext uri="{FF2B5EF4-FFF2-40B4-BE49-F238E27FC236}">
                  <a16:creationId xmlns:a16="http://schemas.microsoft.com/office/drawing/2014/main" id="{00000000-0008-0000-0C00-00000D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537482</xdr:colOff>
      <xdr:row>37</xdr:row>
      <xdr:rowOff>176893</xdr:rowOff>
    </xdr:from>
    <xdr:to>
      <xdr:col>1</xdr:col>
      <xdr:colOff>673553</xdr:colOff>
      <xdr:row>39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60F4CF-D0DB-43B6-ABDD-718AD2758F75}"/>
            </a:ext>
          </a:extLst>
        </xdr:cNvPr>
        <xdr:cNvSpPr txBox="1"/>
      </xdr:nvSpPr>
      <xdr:spPr>
        <a:xfrm>
          <a:off x="537482" y="7387318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RED CARPET</a:t>
          </a:r>
        </a:p>
      </xdr:txBody>
    </xdr:sp>
    <xdr:clientData/>
  </xdr:twoCellAnchor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9546644-246C-45F0-A432-B85ED36E9AE7}"/>
            </a:ext>
          </a:extLst>
        </xdr:cNvPr>
        <xdr:cNvSpPr txBox="1"/>
      </xdr:nvSpPr>
      <xdr:spPr>
        <a:xfrm>
          <a:off x="560614" y="77778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5DA41C6-34A9-4981-A508-BD9BA11AB84F}"/>
            </a:ext>
          </a:extLst>
        </xdr:cNvPr>
        <xdr:cNvSpPr txBox="1"/>
      </xdr:nvSpPr>
      <xdr:spPr>
        <a:xfrm>
          <a:off x="583565" y="77444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637540</xdr:colOff>
      <xdr:row>40</xdr:row>
      <xdr:rowOff>173990</xdr:rowOff>
    </xdr:from>
    <xdr:to>
      <xdr:col>2</xdr:col>
      <xdr:colOff>199390</xdr:colOff>
      <xdr:row>41</xdr:row>
      <xdr:rowOff>187325</xdr:rowOff>
    </xdr:to>
    <xdr:sp macro="" textlink="">
      <xdr:nvSpPr>
        <xdr:cNvPr id="13" name="TextBox 11">
          <a:extLst>
            <a:ext uri="{FF2B5EF4-FFF2-40B4-BE49-F238E27FC236}">
              <a16:creationId xmlns:a16="http://schemas.microsoft.com/office/drawing/2014/main" id="{4F0E1028-1AE3-4203-9415-4F272473A163}"/>
            </a:ext>
          </a:extLst>
        </xdr:cNvPr>
        <xdr:cNvSpPr txBox="1"/>
      </xdr:nvSpPr>
      <xdr:spPr>
        <a:xfrm>
          <a:off x="637540" y="795591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="1" baseline="0"/>
        </a:p>
      </xdr:txBody>
    </xdr:sp>
    <xdr:clientData/>
  </xdr:twoCellAnchor>
  <xdr:twoCellAnchor>
    <xdr:from>
      <xdr:col>0</xdr:col>
      <xdr:colOff>608059</xdr:colOff>
      <xdr:row>39</xdr:row>
      <xdr:rowOff>178162</xdr:rowOff>
    </xdr:from>
    <xdr:to>
      <xdr:col>2</xdr:col>
      <xdr:colOff>169908</xdr:colOff>
      <xdr:row>41</xdr:row>
      <xdr:rowOff>27213</xdr:rowOff>
    </xdr:to>
    <xdr:sp macro="" textlink="">
      <xdr:nvSpPr>
        <xdr:cNvPr id="14" name="TextBox 11">
          <a:extLst>
            <a:ext uri="{FF2B5EF4-FFF2-40B4-BE49-F238E27FC236}">
              <a16:creationId xmlns:a16="http://schemas.microsoft.com/office/drawing/2014/main" id="{D6B33B06-C7C1-4042-A5A4-A15377160D82}"/>
            </a:ext>
          </a:extLst>
        </xdr:cNvPr>
        <xdr:cNvSpPr txBox="1"/>
      </xdr:nvSpPr>
      <xdr:spPr>
        <a:xfrm>
          <a:off x="608059" y="7769587"/>
          <a:ext cx="2438399" cy="230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496661</xdr:colOff>
      <xdr:row>38</xdr:row>
      <xdr:rowOff>148318</xdr:rowOff>
    </xdr:from>
    <xdr:to>
      <xdr:col>1</xdr:col>
      <xdr:colOff>632732</xdr:colOff>
      <xdr:row>39</xdr:row>
      <xdr:rowOff>161926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8A3DEEC-F0B4-472D-985E-B7797F05BB70}"/>
            </a:ext>
          </a:extLst>
        </xdr:cNvPr>
        <xdr:cNvSpPr txBox="1"/>
      </xdr:nvSpPr>
      <xdr:spPr>
        <a:xfrm>
          <a:off x="496661" y="7543800"/>
          <a:ext cx="2061482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OVERTIME PAYMENT</a:t>
          </a:r>
        </a:p>
      </xdr:txBody>
    </xdr:sp>
    <xdr:clientData/>
  </xdr:twoCellAnchor>
  <xdr:twoCellAnchor>
    <xdr:from>
      <xdr:col>0</xdr:col>
      <xdr:colOff>465364</xdr:colOff>
      <xdr:row>39</xdr:row>
      <xdr:rowOff>137432</xdr:rowOff>
    </xdr:from>
    <xdr:to>
      <xdr:col>1</xdr:col>
      <xdr:colOff>601435</xdr:colOff>
      <xdr:row>40</xdr:row>
      <xdr:rowOff>151040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7F43280-8BD2-4595-AF88-58F4814D43A8}"/>
            </a:ext>
          </a:extLst>
        </xdr:cNvPr>
        <xdr:cNvSpPr txBox="1"/>
      </xdr:nvSpPr>
      <xdr:spPr>
        <a:xfrm>
          <a:off x="465364" y="7723414"/>
          <a:ext cx="2061482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ELECTRICITY CHARGE: LIVE BAND</a:t>
          </a:r>
        </a:p>
      </xdr:txBody>
    </xdr:sp>
    <xdr:clientData/>
  </xdr:twoCellAnchor>
  <xdr:twoCellAnchor>
    <xdr:from>
      <xdr:col>0</xdr:col>
      <xdr:colOff>454478</xdr:colOff>
      <xdr:row>40</xdr:row>
      <xdr:rowOff>146957</xdr:rowOff>
    </xdr:from>
    <xdr:to>
      <xdr:col>2</xdr:col>
      <xdr:colOff>13606</xdr:colOff>
      <xdr:row>41</xdr:row>
      <xdr:rowOff>160565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1DD4BA-71EF-4265-BE31-85FF0DA54B67}"/>
            </a:ext>
          </a:extLst>
        </xdr:cNvPr>
        <xdr:cNvSpPr txBox="1"/>
      </xdr:nvSpPr>
      <xdr:spPr>
        <a:xfrm>
          <a:off x="454478" y="7923439"/>
          <a:ext cx="2437039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ELECTRICITY CHARGE: SOUND SYSTEM</a:t>
          </a:r>
        </a:p>
      </xdr:txBody>
    </xdr:sp>
    <xdr:clientData/>
  </xdr:twoCellAnchor>
  <xdr:twoCellAnchor>
    <xdr:from>
      <xdr:col>0</xdr:col>
      <xdr:colOff>402771</xdr:colOff>
      <xdr:row>41</xdr:row>
      <xdr:rowOff>136071</xdr:rowOff>
    </xdr:from>
    <xdr:to>
      <xdr:col>1</xdr:col>
      <xdr:colOff>914399</xdr:colOff>
      <xdr:row>42</xdr:row>
      <xdr:rowOff>149679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FD4F7BE-CA14-4EC6-9044-A957EF4B72E4}"/>
            </a:ext>
          </a:extLst>
        </xdr:cNvPr>
        <xdr:cNvSpPr txBox="1"/>
      </xdr:nvSpPr>
      <xdr:spPr>
        <a:xfrm>
          <a:off x="402771" y="8103053"/>
          <a:ext cx="2437039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ELECTRICITY CHARGE: LIGHTS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673554</xdr:colOff>
      <xdr:row>40</xdr:row>
      <xdr:rowOff>88445</xdr:rowOff>
    </xdr:from>
    <xdr:to>
      <xdr:col>11</xdr:col>
      <xdr:colOff>217714</xdr:colOff>
      <xdr:row>49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7150100" y="7774940"/>
          <a:ext cx="2325370" cy="185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67385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>
        <a:xfrm>
          <a:off x="5303520" y="475615"/>
          <a:ext cx="128905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50</xdr:row>
      <xdr:rowOff>187175</xdr:rowOff>
    </xdr:from>
    <xdr:to>
      <xdr:col>7</xdr:col>
      <xdr:colOff>20411</xdr:colOff>
      <xdr:row>51</xdr:row>
      <xdr:rowOff>6804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>
          <a:cxnSpLocks noChangeShapeType="1"/>
        </xdr:cNvCxnSpPr>
      </xdr:nvCxnSpPr>
      <xdr:spPr>
        <a:xfrm>
          <a:off x="0" y="9864090"/>
          <a:ext cx="6497320" cy="1016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611331</xdr:colOff>
      <xdr:row>4</xdr:row>
      <xdr:rowOff>28203</xdr:rowOff>
    </xdr:from>
    <xdr:to>
      <xdr:col>3</xdr:col>
      <xdr:colOff>238124</xdr:colOff>
      <xdr:row>4</xdr:row>
      <xdr:rowOff>28203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 flipH="1">
          <a:off x="610870" y="1275715"/>
          <a:ext cx="375094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D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D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D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0D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22533" name="Check Box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0D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22534" name="Check Box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0D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22535" name="Check Box 7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00000000-0008-0000-0D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22536" name="Check Box 8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id="{00000000-0008-0000-0D00-00000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22537" name="Check Box 9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id="{00000000-0008-0000-0D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22538" name="Check Box 10" hidden="1">
              <a:extLst>
                <a:ext uri="{63B3BB69-23CF-44E3-9099-C40C66FF867C}">
                  <a14:compatExt spid="_x0000_s22538"/>
                </a:ext>
                <a:ext uri="{FF2B5EF4-FFF2-40B4-BE49-F238E27FC236}">
                  <a16:creationId xmlns:a16="http://schemas.microsoft.com/office/drawing/2014/main" id="{00000000-0008-0000-0D00-00000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22539" name="Check Box 11" hidden="1">
              <a:extLst>
                <a:ext uri="{63B3BB69-23CF-44E3-9099-C40C66FF867C}">
                  <a14:compatExt spid="_x0000_s22539"/>
                </a:ext>
                <a:ext uri="{FF2B5EF4-FFF2-40B4-BE49-F238E27FC236}">
                  <a16:creationId xmlns:a16="http://schemas.microsoft.com/office/drawing/2014/main" id="{00000000-0008-0000-0D00-00000B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22540" name="Check Box 12" hidden="1">
              <a:extLst>
                <a:ext uri="{63B3BB69-23CF-44E3-9099-C40C66FF867C}">
                  <a14:compatExt spid="_x0000_s22540"/>
                </a:ext>
                <a:ext uri="{FF2B5EF4-FFF2-40B4-BE49-F238E27FC236}">
                  <a16:creationId xmlns:a16="http://schemas.microsoft.com/office/drawing/2014/main" id="{00000000-0008-0000-0D00-00000C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22541" name="Check Box 13" hidden="1">
              <a:extLst>
                <a:ext uri="{63B3BB69-23CF-44E3-9099-C40C66FF867C}">
                  <a14:compatExt spid="_x0000_s22541"/>
                </a:ext>
                <a:ext uri="{FF2B5EF4-FFF2-40B4-BE49-F238E27FC236}">
                  <a16:creationId xmlns:a16="http://schemas.microsoft.com/office/drawing/2014/main" id="{00000000-0008-0000-0D00-00000D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578303</xdr:colOff>
      <xdr:row>37</xdr:row>
      <xdr:rowOff>0</xdr:rowOff>
    </xdr:from>
    <xdr:to>
      <xdr:col>2</xdr:col>
      <xdr:colOff>197304</xdr:colOff>
      <xdr:row>38</xdr:row>
      <xdr:rowOff>20411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7850" y="7115175"/>
          <a:ext cx="245745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50" baseline="0"/>
            <a:t>OVERTIME PAYMENT	</a:t>
          </a:r>
        </a:p>
      </xdr:txBody>
    </xdr:sp>
    <xdr:clientData/>
  </xdr:twoCellAnchor>
  <xdr:twoCellAnchor>
    <xdr:from>
      <xdr:col>0</xdr:col>
      <xdr:colOff>387803</xdr:colOff>
      <xdr:row>37</xdr:row>
      <xdr:rowOff>176893</xdr:rowOff>
    </xdr:from>
    <xdr:to>
      <xdr:col>2</xdr:col>
      <xdr:colOff>20411</xdr:colOff>
      <xdr:row>39</xdr:row>
      <xdr:rowOff>6804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387350" y="7291705"/>
          <a:ext cx="247142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endParaRPr lang="en-US" sz="1050">
            <a:effectLst/>
          </a:endParaRPr>
        </a:p>
      </xdr:txBody>
    </xdr:sp>
    <xdr:clientData/>
  </xdr:twoCellAnchor>
  <xdr:twoCellAnchor>
    <xdr:from>
      <xdr:col>0</xdr:col>
      <xdr:colOff>579665</xdr:colOff>
      <xdr:row>40</xdr:row>
      <xdr:rowOff>157843</xdr:rowOff>
    </xdr:from>
    <xdr:to>
      <xdr:col>2</xdr:col>
      <xdr:colOff>14969</xdr:colOff>
      <xdr:row>41</xdr:row>
      <xdr:rowOff>178254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579120" y="7844155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575583</xdr:colOff>
      <xdr:row>41</xdr:row>
      <xdr:rowOff>160565</xdr:rowOff>
    </xdr:from>
    <xdr:to>
      <xdr:col>2</xdr:col>
      <xdr:colOff>10887</xdr:colOff>
      <xdr:row>42</xdr:row>
      <xdr:rowOff>180976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575310" y="8037195"/>
          <a:ext cx="2273935" cy="211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568780</xdr:colOff>
      <xdr:row>40</xdr:row>
      <xdr:rowOff>153762</xdr:rowOff>
    </xdr:from>
    <xdr:to>
      <xdr:col>2</xdr:col>
      <xdr:colOff>4084</xdr:colOff>
      <xdr:row>42</xdr:row>
      <xdr:rowOff>2723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568325" y="7840345"/>
          <a:ext cx="2273935" cy="229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340179</xdr:colOff>
      <xdr:row>40</xdr:row>
      <xdr:rowOff>157299</xdr:rowOff>
    </xdr:from>
    <xdr:to>
      <xdr:col>1</xdr:col>
      <xdr:colOff>934358</xdr:colOff>
      <xdr:row>42</xdr:row>
      <xdr:rowOff>10887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340179" y="7852138"/>
          <a:ext cx="243114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		</a:t>
          </a: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F842B1A-AD0E-48C4-93A6-D1CF74800E1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673554</xdr:colOff>
      <xdr:row>40</xdr:row>
      <xdr:rowOff>88445</xdr:rowOff>
    </xdr:from>
    <xdr:to>
      <xdr:col>11</xdr:col>
      <xdr:colOff>217714</xdr:colOff>
      <xdr:row>49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7150100" y="7774940"/>
          <a:ext cx="2325370" cy="185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67385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>
        <a:xfrm>
          <a:off x="5303520" y="475615"/>
          <a:ext cx="128905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50</xdr:row>
      <xdr:rowOff>187175</xdr:rowOff>
    </xdr:from>
    <xdr:to>
      <xdr:col>7</xdr:col>
      <xdr:colOff>20411</xdr:colOff>
      <xdr:row>51</xdr:row>
      <xdr:rowOff>6804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CxnSpPr>
          <a:cxnSpLocks noChangeShapeType="1"/>
        </xdr:cNvCxnSpPr>
      </xdr:nvCxnSpPr>
      <xdr:spPr>
        <a:xfrm>
          <a:off x="0" y="9864090"/>
          <a:ext cx="6497320" cy="1016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611331</xdr:colOff>
      <xdr:row>4</xdr:row>
      <xdr:rowOff>28203</xdr:rowOff>
    </xdr:from>
    <xdr:to>
      <xdr:col>3</xdr:col>
      <xdr:colOff>238124</xdr:colOff>
      <xdr:row>4</xdr:row>
      <xdr:rowOff>28203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CxnSpPr/>
      </xdr:nvCxnSpPr>
      <xdr:spPr>
        <a:xfrm flipH="1">
          <a:off x="610870" y="1275715"/>
          <a:ext cx="375094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9457" name="Check Box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E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E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E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9460" name="Check Box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E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9461" name="Check Box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E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9462" name="Check Box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E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9463" name="Check Box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0E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9464" name="Check Box 8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0000000-0008-0000-0E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9465" name="Check Box 9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E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9466" name="Check Box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E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9467" name="Check Box 11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00000000-0008-0000-0E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9468" name="Check Box 12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E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9469" name="Check Box 13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0E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578303</xdr:colOff>
      <xdr:row>37</xdr:row>
      <xdr:rowOff>0</xdr:rowOff>
    </xdr:from>
    <xdr:to>
      <xdr:col>2</xdr:col>
      <xdr:colOff>197304</xdr:colOff>
      <xdr:row>38</xdr:row>
      <xdr:rowOff>20411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577850" y="7115175"/>
          <a:ext cx="245745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50" baseline="0"/>
            <a:t>	</a:t>
          </a:r>
        </a:p>
      </xdr:txBody>
    </xdr:sp>
    <xdr:clientData/>
  </xdr:twoCellAnchor>
  <xdr:twoCellAnchor>
    <xdr:from>
      <xdr:col>0</xdr:col>
      <xdr:colOff>387803</xdr:colOff>
      <xdr:row>37</xdr:row>
      <xdr:rowOff>176893</xdr:rowOff>
    </xdr:from>
    <xdr:to>
      <xdr:col>2</xdr:col>
      <xdr:colOff>20411</xdr:colOff>
      <xdr:row>39</xdr:row>
      <xdr:rowOff>6804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387350" y="7291705"/>
          <a:ext cx="247142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endParaRPr lang="en-US" sz="1050">
            <a:effectLst/>
          </a:endParaRPr>
        </a:p>
      </xdr:txBody>
    </xdr:sp>
    <xdr:clientData/>
  </xdr:twoCellAnchor>
  <xdr:twoCellAnchor>
    <xdr:from>
      <xdr:col>0</xdr:col>
      <xdr:colOff>597355</xdr:colOff>
      <xdr:row>37</xdr:row>
      <xdr:rowOff>141516</xdr:rowOff>
    </xdr:from>
    <xdr:to>
      <xdr:col>2</xdr:col>
      <xdr:colOff>32659</xdr:colOff>
      <xdr:row>38</xdr:row>
      <xdr:rowOff>183698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596900" y="7256145"/>
          <a:ext cx="2273935" cy="23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579665</xdr:colOff>
      <xdr:row>40</xdr:row>
      <xdr:rowOff>157843</xdr:rowOff>
    </xdr:from>
    <xdr:to>
      <xdr:col>2</xdr:col>
      <xdr:colOff>14969</xdr:colOff>
      <xdr:row>41</xdr:row>
      <xdr:rowOff>178254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579120" y="7844155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575583</xdr:colOff>
      <xdr:row>41</xdr:row>
      <xdr:rowOff>160565</xdr:rowOff>
    </xdr:from>
    <xdr:to>
      <xdr:col>2</xdr:col>
      <xdr:colOff>10887</xdr:colOff>
      <xdr:row>42</xdr:row>
      <xdr:rowOff>180976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575310" y="8037195"/>
          <a:ext cx="2273935" cy="211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551091</xdr:colOff>
      <xdr:row>43</xdr:row>
      <xdr:rowOff>0</xdr:rowOff>
    </xdr:from>
    <xdr:to>
      <xdr:col>1</xdr:col>
      <xdr:colOff>986520</xdr:colOff>
      <xdr:row>44</xdr:row>
      <xdr:rowOff>20411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550545" y="8258175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571501</xdr:colOff>
      <xdr:row>38</xdr:row>
      <xdr:rowOff>123825</xdr:rowOff>
    </xdr:from>
    <xdr:to>
      <xdr:col>2</xdr:col>
      <xdr:colOff>123828</xdr:colOff>
      <xdr:row>39</xdr:row>
      <xdr:rowOff>144236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571500" y="7429500"/>
          <a:ext cx="239077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="0" baseline="0"/>
        </a:p>
      </xdr:txBody>
    </xdr:sp>
    <xdr:clientData/>
  </xdr:twoCellAnchor>
  <xdr:twoCellAnchor>
    <xdr:from>
      <xdr:col>0</xdr:col>
      <xdr:colOff>593273</xdr:colOff>
      <xdr:row>38</xdr:row>
      <xdr:rowOff>117022</xdr:rowOff>
    </xdr:from>
    <xdr:to>
      <xdr:col>2</xdr:col>
      <xdr:colOff>28577</xdr:colOff>
      <xdr:row>41</xdr:row>
      <xdr:rowOff>16329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/>
      </xdr:nvSpPr>
      <xdr:spPr>
        <a:xfrm>
          <a:off x="593090" y="7422515"/>
          <a:ext cx="2273935" cy="470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	</a:t>
          </a:r>
        </a:p>
      </xdr:txBody>
    </xdr:sp>
    <xdr:clientData/>
  </xdr:twoCellAnchor>
  <xdr:twoCellAnchor>
    <xdr:from>
      <xdr:col>0</xdr:col>
      <xdr:colOff>572862</xdr:colOff>
      <xdr:row>38</xdr:row>
      <xdr:rowOff>130629</xdr:rowOff>
    </xdr:from>
    <xdr:to>
      <xdr:col>2</xdr:col>
      <xdr:colOff>8166</xdr:colOff>
      <xdr:row>39</xdr:row>
      <xdr:rowOff>170090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572770" y="7435850"/>
          <a:ext cx="2273300" cy="229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568780</xdr:colOff>
      <xdr:row>39</xdr:row>
      <xdr:rowOff>133351</xdr:rowOff>
    </xdr:from>
    <xdr:to>
      <xdr:col>2</xdr:col>
      <xdr:colOff>4084</xdr:colOff>
      <xdr:row>40</xdr:row>
      <xdr:rowOff>156482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568325" y="7629525"/>
          <a:ext cx="2273935" cy="21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617311</xdr:colOff>
      <xdr:row>36</xdr:row>
      <xdr:rowOff>173628</xdr:rowOff>
    </xdr:from>
    <xdr:to>
      <xdr:col>2</xdr:col>
      <xdr:colOff>52615</xdr:colOff>
      <xdr:row>38</xdr:row>
      <xdr:rowOff>27216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617220" y="7098030"/>
          <a:ext cx="227330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OVERTIME PAYMENT		</a:t>
          </a:r>
        </a:p>
      </xdr:txBody>
    </xdr:sp>
    <xdr:clientData/>
  </xdr:twoCellAnchor>
  <xdr:twoCellAnchor>
    <xdr:from>
      <xdr:col>0</xdr:col>
      <xdr:colOff>568780</xdr:colOff>
      <xdr:row>40</xdr:row>
      <xdr:rowOff>153762</xdr:rowOff>
    </xdr:from>
    <xdr:to>
      <xdr:col>2</xdr:col>
      <xdr:colOff>4084</xdr:colOff>
      <xdr:row>42</xdr:row>
      <xdr:rowOff>2723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/>
      </xdr:nvSpPr>
      <xdr:spPr>
        <a:xfrm>
          <a:off x="568325" y="7840345"/>
          <a:ext cx="2273935" cy="229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670379</xdr:colOff>
      <xdr:row>37</xdr:row>
      <xdr:rowOff>138250</xdr:rowOff>
    </xdr:from>
    <xdr:to>
      <xdr:col>2</xdr:col>
      <xdr:colOff>105683</xdr:colOff>
      <xdr:row>38</xdr:row>
      <xdr:rowOff>182338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670379" y="7261589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MAINTENANCE COST		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83003</xdr:colOff>
      <xdr:row>0</xdr:row>
      <xdr:rowOff>0</xdr:rowOff>
    </xdr:from>
    <xdr:to>
      <xdr:col>0</xdr:col>
      <xdr:colOff>625928</xdr:colOff>
      <xdr:row>0</xdr:row>
      <xdr:rowOff>522605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0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7</xdr:col>
      <xdr:colOff>20411</xdr:colOff>
      <xdr:row>2</xdr:row>
      <xdr:rowOff>224518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600075" y="9525"/>
          <a:ext cx="5582920" cy="1081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598715</xdr:rowOff>
    </xdr:from>
    <xdr:to>
      <xdr:col>9</xdr:col>
      <xdr:colOff>196685</xdr:colOff>
      <xdr:row>0</xdr:row>
      <xdr:rowOff>598716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>
          <a:cxnSpLocks noChangeShapeType="1"/>
        </xdr:cNvCxnSpPr>
      </xdr:nvCxnSpPr>
      <xdr:spPr>
        <a:xfrm flipV="1">
          <a:off x="0" y="598170"/>
          <a:ext cx="835914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272146</xdr:colOff>
      <xdr:row>0</xdr:row>
      <xdr:rowOff>476249</xdr:rowOff>
    </xdr:from>
    <xdr:to>
      <xdr:col>7</xdr:col>
      <xdr:colOff>1578430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rrowheads="1"/>
        </xdr:cNvSpPr>
      </xdr:nvSpPr>
      <xdr:spPr>
        <a:xfrm>
          <a:off x="6434455" y="475615"/>
          <a:ext cx="1306195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3</xdr:row>
      <xdr:rowOff>29937</xdr:rowOff>
    </xdr:from>
    <xdr:to>
      <xdr:col>0</xdr:col>
      <xdr:colOff>628650</xdr:colOff>
      <xdr:row>5</xdr:row>
      <xdr:rowOff>10887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0" y="1163320"/>
          <a:ext cx="6286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52</xdr:row>
      <xdr:rowOff>255212</xdr:rowOff>
    </xdr:from>
    <xdr:to>
      <xdr:col>8</xdr:col>
      <xdr:colOff>387804</xdr:colOff>
      <xdr:row>53</xdr:row>
      <xdr:rowOff>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CxnSpPr>
          <a:cxnSpLocks noChangeShapeType="1"/>
        </xdr:cNvCxnSpPr>
      </xdr:nvCxnSpPr>
      <xdr:spPr>
        <a:xfrm>
          <a:off x="0" y="11837035"/>
          <a:ext cx="8140700" cy="1206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CxnSpPr/>
      </xdr:nvCxnSpPr>
      <xdr:spPr>
        <a:xfrm flipH="1">
          <a:off x="610870" y="1400810"/>
          <a:ext cx="377063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5</xdr:row>
          <xdr:rowOff>152400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F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5</xdr:row>
          <xdr:rowOff>152400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F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F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F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F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0F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8</xdr:row>
          <xdr:rowOff>228600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00000000-0008-0000-0F00-00000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9</xdr:row>
          <xdr:rowOff>161925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00000000-0008-0000-0F00-00000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00000000-0008-0000-0F00-00000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0F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00000000-0008-0000-0F00-00000B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00000000-0008-0000-0F00-00000C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00000000-0008-0000-0F00-00000D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839561</xdr:colOff>
      <xdr:row>37</xdr:row>
      <xdr:rowOff>159204</xdr:rowOff>
    </xdr:from>
    <xdr:to>
      <xdr:col>1</xdr:col>
      <xdr:colOff>975632</xdr:colOff>
      <xdr:row>39</xdr:row>
      <xdr:rowOff>13607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839470" y="8188325"/>
          <a:ext cx="1974215" cy="235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RED CARPET</a:t>
          </a:r>
          <a:r>
            <a:rPr lang="en-US" sz="1200"/>
            <a:t>	</a:t>
          </a:r>
        </a:p>
      </xdr:txBody>
    </xdr:sp>
    <xdr:clientData/>
  </xdr:twoCellAnchor>
  <xdr:twoCellAnchor>
    <xdr:from>
      <xdr:col>0</xdr:col>
      <xdr:colOff>846364</xdr:colOff>
      <xdr:row>38</xdr:row>
      <xdr:rowOff>160564</xdr:rowOff>
    </xdr:from>
    <xdr:to>
      <xdr:col>2</xdr:col>
      <xdr:colOff>761999</xdr:colOff>
      <xdr:row>40</xdr:row>
      <xdr:rowOff>14967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845820" y="8380095"/>
          <a:ext cx="2773045" cy="235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ELECTRICITY CHARGE: PHOTOBOOTH</a:t>
          </a:r>
          <a:r>
            <a:rPr lang="en-US" sz="1200"/>
            <a:t>	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673554</xdr:colOff>
      <xdr:row>40</xdr:row>
      <xdr:rowOff>88445</xdr:rowOff>
    </xdr:from>
    <xdr:to>
      <xdr:col>11</xdr:col>
      <xdr:colOff>217714</xdr:colOff>
      <xdr:row>49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150100" y="7774940"/>
          <a:ext cx="2325370" cy="185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67385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Arrowheads="1"/>
        </xdr:cNvSpPr>
      </xdr:nvSpPr>
      <xdr:spPr>
        <a:xfrm>
          <a:off x="5303520" y="475615"/>
          <a:ext cx="128905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50</xdr:row>
      <xdr:rowOff>187175</xdr:rowOff>
    </xdr:from>
    <xdr:to>
      <xdr:col>7</xdr:col>
      <xdr:colOff>20411</xdr:colOff>
      <xdr:row>51</xdr:row>
      <xdr:rowOff>6804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CxnSpPr>
          <a:cxnSpLocks noChangeShapeType="1"/>
        </xdr:cNvCxnSpPr>
      </xdr:nvCxnSpPr>
      <xdr:spPr>
        <a:xfrm>
          <a:off x="0" y="9864090"/>
          <a:ext cx="6497320" cy="1016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611331</xdr:colOff>
      <xdr:row>4</xdr:row>
      <xdr:rowOff>28203</xdr:rowOff>
    </xdr:from>
    <xdr:to>
      <xdr:col>3</xdr:col>
      <xdr:colOff>238124</xdr:colOff>
      <xdr:row>4</xdr:row>
      <xdr:rowOff>28203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CxnSpPr/>
      </xdr:nvCxnSpPr>
      <xdr:spPr>
        <a:xfrm flipH="1">
          <a:off x="610870" y="1275715"/>
          <a:ext cx="375094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0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10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10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10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10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21511" name="Check Box 7" hidden="1">
              <a:extLst>
                <a:ext uri="{63B3BB69-23CF-44E3-9099-C40C66FF867C}">
                  <a14:compatExt spid="_x0000_s21511"/>
                </a:ext>
                <a:ext uri="{FF2B5EF4-FFF2-40B4-BE49-F238E27FC236}">
                  <a16:creationId xmlns:a16="http://schemas.microsoft.com/office/drawing/2014/main" id="{00000000-0008-0000-1000-00000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21512" name="Check Box 8" hidden="1">
              <a:extLst>
                <a:ext uri="{63B3BB69-23CF-44E3-9099-C40C66FF867C}">
                  <a14:compatExt spid="_x0000_s21512"/>
                </a:ext>
                <a:ext uri="{FF2B5EF4-FFF2-40B4-BE49-F238E27FC236}">
                  <a16:creationId xmlns:a16="http://schemas.microsoft.com/office/drawing/2014/main" id="{00000000-0008-0000-1000-00000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21513" name="Check Box 9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:a16="http://schemas.microsoft.com/office/drawing/2014/main" id="{00000000-0008-0000-10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21514" name="Check Box 10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:a16="http://schemas.microsoft.com/office/drawing/2014/main" id="{00000000-0008-0000-10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21515" name="Check Box 11" hidden="1">
              <a:extLst>
                <a:ext uri="{63B3BB69-23CF-44E3-9099-C40C66FF867C}">
                  <a14:compatExt spid="_x0000_s21515"/>
                </a:ext>
                <a:ext uri="{FF2B5EF4-FFF2-40B4-BE49-F238E27FC236}">
                  <a16:creationId xmlns:a16="http://schemas.microsoft.com/office/drawing/2014/main" id="{00000000-0008-0000-1000-00000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21516" name="Check Box 12" hidden="1">
              <a:extLst>
                <a:ext uri="{63B3BB69-23CF-44E3-9099-C40C66FF867C}">
                  <a14:compatExt spid="_x0000_s21516"/>
                </a:ext>
                <a:ext uri="{FF2B5EF4-FFF2-40B4-BE49-F238E27FC236}">
                  <a16:creationId xmlns:a16="http://schemas.microsoft.com/office/drawing/2014/main" id="{00000000-0008-0000-1000-00000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21517" name="Check Box 13" hidden="1">
              <a:extLst>
                <a:ext uri="{63B3BB69-23CF-44E3-9099-C40C66FF867C}">
                  <a14:compatExt spid="_x0000_s21517"/>
                </a:ext>
                <a:ext uri="{FF2B5EF4-FFF2-40B4-BE49-F238E27FC236}">
                  <a16:creationId xmlns:a16="http://schemas.microsoft.com/office/drawing/2014/main" id="{00000000-0008-0000-1000-00000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557892</xdr:colOff>
      <xdr:row>36</xdr:row>
      <xdr:rowOff>163285</xdr:rowOff>
    </xdr:from>
    <xdr:to>
      <xdr:col>2</xdr:col>
      <xdr:colOff>176893</xdr:colOff>
      <xdr:row>40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557530" y="7087870"/>
          <a:ext cx="2457450" cy="646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aseline="0"/>
            <a:t>Overtime Payment:</a:t>
          </a:r>
        </a:p>
        <a:p>
          <a:pPr algn="l"/>
          <a:r>
            <a:rPr lang="en-US" sz="1000" baseline="0"/>
            <a:t> 10 GUARD, 8 JANITORS, 2 STAFF, 3 TECHNICAL, 1 ELECTRICIAN</a:t>
          </a:r>
        </a:p>
        <a:p>
          <a:pPr algn="l"/>
          <a:r>
            <a:rPr lang="en-US" sz="1050" baseline="0"/>
            <a:t>	</a:t>
          </a:r>
        </a:p>
      </xdr:txBody>
    </xdr:sp>
    <xdr:clientData/>
  </xdr:twoCellAnchor>
  <xdr:twoCellAnchor>
    <xdr:from>
      <xdr:col>0</xdr:col>
      <xdr:colOff>387803</xdr:colOff>
      <xdr:row>37</xdr:row>
      <xdr:rowOff>176893</xdr:rowOff>
    </xdr:from>
    <xdr:to>
      <xdr:col>2</xdr:col>
      <xdr:colOff>20411</xdr:colOff>
      <xdr:row>39</xdr:row>
      <xdr:rowOff>6804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387350" y="7291705"/>
          <a:ext cx="2471420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endParaRPr lang="en-US" sz="1050">
            <a:effectLst/>
          </a:endParaRPr>
        </a:p>
      </xdr:txBody>
    </xdr:sp>
    <xdr:clientData/>
  </xdr:twoCellAnchor>
  <xdr:twoCellAnchor>
    <xdr:from>
      <xdr:col>0</xdr:col>
      <xdr:colOff>515712</xdr:colOff>
      <xdr:row>39</xdr:row>
      <xdr:rowOff>175533</xdr:rowOff>
    </xdr:from>
    <xdr:to>
      <xdr:col>1</xdr:col>
      <xdr:colOff>951141</xdr:colOff>
      <xdr:row>42</xdr:row>
      <xdr:rowOff>74840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515620" y="7671435"/>
          <a:ext cx="2273300" cy="470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ELECTRICITY CHARGE: LED WALL</a:t>
          </a:r>
        </a:p>
      </xdr:txBody>
    </xdr:sp>
    <xdr:clientData/>
  </xdr:twoCellAnchor>
  <xdr:twoCellAnchor>
    <xdr:from>
      <xdr:col>0</xdr:col>
      <xdr:colOff>579665</xdr:colOff>
      <xdr:row>40</xdr:row>
      <xdr:rowOff>157843</xdr:rowOff>
    </xdr:from>
    <xdr:to>
      <xdr:col>2</xdr:col>
      <xdr:colOff>14969</xdr:colOff>
      <xdr:row>41</xdr:row>
      <xdr:rowOff>178254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/>
      </xdr:nvSpPr>
      <xdr:spPr>
        <a:xfrm>
          <a:off x="579120" y="7844155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575583</xdr:colOff>
      <xdr:row>41</xdr:row>
      <xdr:rowOff>160565</xdr:rowOff>
    </xdr:from>
    <xdr:to>
      <xdr:col>2</xdr:col>
      <xdr:colOff>10887</xdr:colOff>
      <xdr:row>42</xdr:row>
      <xdr:rowOff>180976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>
        <a:xfrm>
          <a:off x="575310" y="8037195"/>
          <a:ext cx="2273935" cy="211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551091</xdr:colOff>
      <xdr:row>43</xdr:row>
      <xdr:rowOff>0</xdr:rowOff>
    </xdr:from>
    <xdr:to>
      <xdr:col>1</xdr:col>
      <xdr:colOff>986520</xdr:colOff>
      <xdr:row>44</xdr:row>
      <xdr:rowOff>20411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/>
      </xdr:nvSpPr>
      <xdr:spPr>
        <a:xfrm>
          <a:off x="550545" y="8258175"/>
          <a:ext cx="2273935" cy="210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346983</xdr:colOff>
      <xdr:row>40</xdr:row>
      <xdr:rowOff>151041</xdr:rowOff>
    </xdr:from>
    <xdr:to>
      <xdr:col>1</xdr:col>
      <xdr:colOff>933453</xdr:colOff>
      <xdr:row>43</xdr:row>
      <xdr:rowOff>50348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/>
      </xdr:nvSpPr>
      <xdr:spPr>
        <a:xfrm>
          <a:off x="346710" y="7837170"/>
          <a:ext cx="2425065" cy="471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ELECTRICITY CHARGE: SOUND SYSTEM</a:t>
          </a:r>
          <a:endParaRPr lang="en-US" sz="1000">
            <a:effectLst/>
          </a:endParaRPr>
        </a:p>
        <a:p>
          <a:endParaRPr lang="en-US" sz="1000" b="0" baseline="0"/>
        </a:p>
      </xdr:txBody>
    </xdr:sp>
    <xdr:clientData/>
  </xdr:twoCellAnchor>
  <xdr:twoCellAnchor>
    <xdr:from>
      <xdr:col>0</xdr:col>
      <xdr:colOff>458562</xdr:colOff>
      <xdr:row>41</xdr:row>
      <xdr:rowOff>174173</xdr:rowOff>
    </xdr:from>
    <xdr:to>
      <xdr:col>2</xdr:col>
      <xdr:colOff>44907</xdr:colOff>
      <xdr:row>44</xdr:row>
      <xdr:rowOff>73480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 txBox="1"/>
      </xdr:nvSpPr>
      <xdr:spPr>
        <a:xfrm>
          <a:off x="458470" y="8051165"/>
          <a:ext cx="2424430" cy="470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ELECTRICITY CHARGE: SPOTLIGHT</a:t>
          </a:r>
          <a:endParaRPr lang="en-US" sz="1000">
            <a:effectLst/>
          </a:endParaRPr>
        </a:p>
        <a:p>
          <a:endParaRPr lang="en-US" sz="1000" b="0" baseline="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537483</xdr:colOff>
      <xdr:row>39</xdr:row>
      <xdr:rowOff>20411</xdr:rowOff>
    </xdr:from>
    <xdr:to>
      <xdr:col>1</xdr:col>
      <xdr:colOff>816428</xdr:colOff>
      <xdr:row>40</xdr:row>
      <xdr:rowOff>34019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537210" y="7564120"/>
          <a:ext cx="2202815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61670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>
        <a:xfrm>
          <a:off x="5341620" y="475615"/>
          <a:ext cx="1193800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>
          <a:cxnSpLocks noChangeShapeType="1"/>
        </xdr:cNvCxnSpPr>
      </xdr:nvCxnSpPr>
      <xdr:spPr>
        <a:xfrm>
          <a:off x="0" y="9714865"/>
          <a:ext cx="6419850" cy="1587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CxnSpPr/>
      </xdr:nvCxnSpPr>
      <xdr:spPr>
        <a:xfrm flipH="1">
          <a:off x="610870" y="1248410"/>
          <a:ext cx="37896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41985" name="Check Box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11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41986" name="Check Box 2" hidden="1">
              <a:extLst>
                <a:ext uri="{63B3BB69-23CF-44E3-9099-C40C66FF867C}">
                  <a14:compatExt spid="_x0000_s41986"/>
                </a:ext>
                <a:ext uri="{FF2B5EF4-FFF2-40B4-BE49-F238E27FC236}">
                  <a16:creationId xmlns:a16="http://schemas.microsoft.com/office/drawing/2014/main" id="{00000000-0008-0000-1100-00000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41987" name="Check Box 3" hidden="1">
              <a:extLst>
                <a:ext uri="{63B3BB69-23CF-44E3-9099-C40C66FF867C}">
                  <a14:compatExt spid="_x0000_s41987"/>
                </a:ext>
                <a:ext uri="{FF2B5EF4-FFF2-40B4-BE49-F238E27FC236}">
                  <a16:creationId xmlns:a16="http://schemas.microsoft.com/office/drawing/2014/main" id="{00000000-0008-0000-1100-000003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41988" name="Check Box 4" hidden="1">
              <a:extLst>
                <a:ext uri="{63B3BB69-23CF-44E3-9099-C40C66FF867C}">
                  <a14:compatExt spid="_x0000_s41988"/>
                </a:ext>
                <a:ext uri="{FF2B5EF4-FFF2-40B4-BE49-F238E27FC236}">
                  <a16:creationId xmlns:a16="http://schemas.microsoft.com/office/drawing/2014/main" id="{00000000-0008-0000-1100-000004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41989" name="Check Box 5" hidden="1">
              <a:extLst>
                <a:ext uri="{63B3BB69-23CF-44E3-9099-C40C66FF867C}">
                  <a14:compatExt spid="_x0000_s41989"/>
                </a:ext>
                <a:ext uri="{FF2B5EF4-FFF2-40B4-BE49-F238E27FC236}">
                  <a16:creationId xmlns:a16="http://schemas.microsoft.com/office/drawing/2014/main" id="{00000000-0008-0000-1100-000005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41990" name="Check Box 6" hidden="1">
              <a:extLst>
                <a:ext uri="{63B3BB69-23CF-44E3-9099-C40C66FF867C}">
                  <a14:compatExt spid="_x0000_s41990"/>
                </a:ext>
                <a:ext uri="{FF2B5EF4-FFF2-40B4-BE49-F238E27FC236}">
                  <a16:creationId xmlns:a16="http://schemas.microsoft.com/office/drawing/2014/main" id="{00000000-0008-0000-1100-000006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41991" name="Check Box 7" hidden="1">
              <a:extLst>
                <a:ext uri="{63B3BB69-23CF-44E3-9099-C40C66FF867C}">
                  <a14:compatExt spid="_x0000_s41991"/>
                </a:ext>
                <a:ext uri="{FF2B5EF4-FFF2-40B4-BE49-F238E27FC236}">
                  <a16:creationId xmlns:a16="http://schemas.microsoft.com/office/drawing/2014/main" id="{00000000-0008-0000-1100-000007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41992" name="Check Box 8" hidden="1">
              <a:extLst>
                <a:ext uri="{63B3BB69-23CF-44E3-9099-C40C66FF867C}">
                  <a14:compatExt spid="_x0000_s41992"/>
                </a:ext>
                <a:ext uri="{FF2B5EF4-FFF2-40B4-BE49-F238E27FC236}">
                  <a16:creationId xmlns:a16="http://schemas.microsoft.com/office/drawing/2014/main" id="{00000000-0008-0000-1100-000008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41993" name="Check Box 9" hidden="1">
              <a:extLst>
                <a:ext uri="{63B3BB69-23CF-44E3-9099-C40C66FF867C}">
                  <a14:compatExt spid="_x0000_s41993"/>
                </a:ext>
                <a:ext uri="{FF2B5EF4-FFF2-40B4-BE49-F238E27FC236}">
                  <a16:creationId xmlns:a16="http://schemas.microsoft.com/office/drawing/2014/main" id="{00000000-0008-0000-1100-00000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41994" name="Check Box 10" hidden="1">
              <a:extLst>
                <a:ext uri="{63B3BB69-23CF-44E3-9099-C40C66FF867C}">
                  <a14:compatExt spid="_x0000_s41994"/>
                </a:ext>
                <a:ext uri="{FF2B5EF4-FFF2-40B4-BE49-F238E27FC236}">
                  <a16:creationId xmlns:a16="http://schemas.microsoft.com/office/drawing/2014/main" id="{00000000-0008-0000-1100-00000A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41995" name="Check Box 11" hidden="1">
              <a:extLst>
                <a:ext uri="{63B3BB69-23CF-44E3-9099-C40C66FF867C}">
                  <a14:compatExt spid="_x0000_s41995"/>
                </a:ext>
                <a:ext uri="{FF2B5EF4-FFF2-40B4-BE49-F238E27FC236}">
                  <a16:creationId xmlns:a16="http://schemas.microsoft.com/office/drawing/2014/main" id="{00000000-0008-0000-1100-00000B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41996" name="Check Box 12" hidden="1">
              <a:extLst>
                <a:ext uri="{63B3BB69-23CF-44E3-9099-C40C66FF867C}">
                  <a14:compatExt spid="_x0000_s41996"/>
                </a:ext>
                <a:ext uri="{FF2B5EF4-FFF2-40B4-BE49-F238E27FC236}">
                  <a16:creationId xmlns:a16="http://schemas.microsoft.com/office/drawing/2014/main" id="{00000000-0008-0000-1100-00000C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41997" name="Check Box 13" hidden="1">
              <a:extLst>
                <a:ext uri="{63B3BB69-23CF-44E3-9099-C40C66FF867C}">
                  <a14:compatExt spid="_x0000_s41997"/>
                </a:ext>
                <a:ext uri="{FF2B5EF4-FFF2-40B4-BE49-F238E27FC236}">
                  <a16:creationId xmlns:a16="http://schemas.microsoft.com/office/drawing/2014/main" id="{00000000-0008-0000-1100-00000D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24" name="TextBox 10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/>
      </xdr:nvSpPr>
      <xdr:spPr>
        <a:xfrm>
          <a:off x="560070" y="7729855"/>
          <a:ext cx="2060575" cy="20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26" name="TextBox 11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/>
      </xdr:nvSpPr>
      <xdr:spPr>
        <a:xfrm>
          <a:off x="583565" y="769683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637540</xdr:colOff>
      <xdr:row>40</xdr:row>
      <xdr:rowOff>173990</xdr:rowOff>
    </xdr:from>
    <xdr:to>
      <xdr:col>2</xdr:col>
      <xdr:colOff>199390</xdr:colOff>
      <xdr:row>41</xdr:row>
      <xdr:rowOff>187325</xdr:rowOff>
    </xdr:to>
    <xdr:sp macro="" textlink="">
      <xdr:nvSpPr>
        <xdr:cNvPr id="28" name="TextBox 1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/>
      </xdr:nvSpPr>
      <xdr:spPr>
        <a:xfrm>
          <a:off x="637540" y="790829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="1" baseline="0"/>
        </a:p>
      </xdr:txBody>
    </xdr:sp>
    <xdr:clientData/>
  </xdr:twoCellAnchor>
  <xdr:twoCellAnchor>
    <xdr:from>
      <xdr:col>0</xdr:col>
      <xdr:colOff>274863</xdr:colOff>
      <xdr:row>41</xdr:row>
      <xdr:rowOff>130628</xdr:rowOff>
    </xdr:from>
    <xdr:to>
      <xdr:col>1</xdr:col>
      <xdr:colOff>865411</xdr:colOff>
      <xdr:row>42</xdr:row>
      <xdr:rowOff>144236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274863" y="8056789"/>
          <a:ext cx="2515959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564424</xdr:colOff>
      <xdr:row>37</xdr:row>
      <xdr:rowOff>161834</xdr:rowOff>
    </xdr:from>
    <xdr:to>
      <xdr:col>2</xdr:col>
      <xdr:colOff>126273</xdr:colOff>
      <xdr:row>38</xdr:row>
      <xdr:rowOff>175442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564424" y="7325995"/>
          <a:ext cx="2439760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OVERTIME PAYMENT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537483</xdr:colOff>
      <xdr:row>39</xdr:row>
      <xdr:rowOff>20411</xdr:rowOff>
    </xdr:from>
    <xdr:to>
      <xdr:col>1</xdr:col>
      <xdr:colOff>816428</xdr:colOff>
      <xdr:row>40</xdr:row>
      <xdr:rowOff>34019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537483" y="7573736"/>
          <a:ext cx="2202995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CxnSpPr/>
      </xdr:nvCxnSpPr>
      <xdr:spPr>
        <a:xfrm flipH="1">
          <a:off x="611332" y="1258289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43009" name="Check Box 1" hidden="1">
              <a:extLst>
                <a:ext uri="{63B3BB69-23CF-44E3-9099-C40C66FF867C}">
                  <a14:compatExt spid="_x0000_s43009"/>
                </a:ext>
                <a:ext uri="{FF2B5EF4-FFF2-40B4-BE49-F238E27FC236}">
                  <a16:creationId xmlns:a16="http://schemas.microsoft.com/office/drawing/2014/main" id="{00000000-0008-0000-1200-000001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43010" name="Check Box 2" hidden="1">
              <a:extLst>
                <a:ext uri="{63B3BB69-23CF-44E3-9099-C40C66FF867C}">
                  <a14:compatExt spid="_x0000_s43010"/>
                </a:ext>
                <a:ext uri="{FF2B5EF4-FFF2-40B4-BE49-F238E27FC236}">
                  <a16:creationId xmlns:a16="http://schemas.microsoft.com/office/drawing/2014/main" id="{00000000-0008-0000-1200-000002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43011" name="Check Box 3" hidden="1">
              <a:extLst>
                <a:ext uri="{63B3BB69-23CF-44E3-9099-C40C66FF867C}">
                  <a14:compatExt spid="_x0000_s43011"/>
                </a:ext>
                <a:ext uri="{FF2B5EF4-FFF2-40B4-BE49-F238E27FC236}">
                  <a16:creationId xmlns:a16="http://schemas.microsoft.com/office/drawing/2014/main" id="{00000000-0008-0000-1200-000003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43012" name="Check Box 4" hidden="1">
              <a:extLst>
                <a:ext uri="{63B3BB69-23CF-44E3-9099-C40C66FF867C}">
                  <a14:compatExt spid="_x0000_s43012"/>
                </a:ext>
                <a:ext uri="{FF2B5EF4-FFF2-40B4-BE49-F238E27FC236}">
                  <a16:creationId xmlns:a16="http://schemas.microsoft.com/office/drawing/2014/main" id="{00000000-0008-0000-1200-000004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43013" name="Check Box 5" hidden="1">
              <a:extLst>
                <a:ext uri="{63B3BB69-23CF-44E3-9099-C40C66FF867C}">
                  <a14:compatExt spid="_x0000_s43013"/>
                </a:ext>
                <a:ext uri="{FF2B5EF4-FFF2-40B4-BE49-F238E27FC236}">
                  <a16:creationId xmlns:a16="http://schemas.microsoft.com/office/drawing/2014/main" id="{00000000-0008-0000-1200-000005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43014" name="Check Box 6" hidden="1">
              <a:extLst>
                <a:ext uri="{63B3BB69-23CF-44E3-9099-C40C66FF867C}">
                  <a14:compatExt spid="_x0000_s43014"/>
                </a:ext>
                <a:ext uri="{FF2B5EF4-FFF2-40B4-BE49-F238E27FC236}">
                  <a16:creationId xmlns:a16="http://schemas.microsoft.com/office/drawing/2014/main" id="{00000000-0008-0000-1200-000006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171450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43015" name="Check Box 7" hidden="1">
              <a:extLst>
                <a:ext uri="{63B3BB69-23CF-44E3-9099-C40C66FF867C}">
                  <a14:compatExt spid="_x0000_s43015"/>
                </a:ext>
                <a:ext uri="{FF2B5EF4-FFF2-40B4-BE49-F238E27FC236}">
                  <a16:creationId xmlns:a16="http://schemas.microsoft.com/office/drawing/2014/main" id="{00000000-0008-0000-1200-000007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43016" name="Check Box 8" hidden="1">
              <a:extLst>
                <a:ext uri="{63B3BB69-23CF-44E3-9099-C40C66FF867C}">
                  <a14:compatExt spid="_x0000_s43016"/>
                </a:ext>
                <a:ext uri="{FF2B5EF4-FFF2-40B4-BE49-F238E27FC236}">
                  <a16:creationId xmlns:a16="http://schemas.microsoft.com/office/drawing/2014/main" id="{00000000-0008-0000-1200-000008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43017" name="Check Box 9" hidden="1">
              <a:extLst>
                <a:ext uri="{63B3BB69-23CF-44E3-9099-C40C66FF867C}">
                  <a14:compatExt spid="_x0000_s43017"/>
                </a:ext>
                <a:ext uri="{FF2B5EF4-FFF2-40B4-BE49-F238E27FC236}">
                  <a16:creationId xmlns:a16="http://schemas.microsoft.com/office/drawing/2014/main" id="{00000000-0008-0000-1200-000009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43018" name="Check Box 10" hidden="1">
              <a:extLst>
                <a:ext uri="{63B3BB69-23CF-44E3-9099-C40C66FF867C}">
                  <a14:compatExt spid="_x0000_s43018"/>
                </a:ext>
                <a:ext uri="{FF2B5EF4-FFF2-40B4-BE49-F238E27FC236}">
                  <a16:creationId xmlns:a16="http://schemas.microsoft.com/office/drawing/2014/main" id="{00000000-0008-0000-1200-00000A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43019" name="Check Box 11" hidden="1">
              <a:extLst>
                <a:ext uri="{63B3BB69-23CF-44E3-9099-C40C66FF867C}">
                  <a14:compatExt spid="_x0000_s43019"/>
                </a:ext>
                <a:ext uri="{FF2B5EF4-FFF2-40B4-BE49-F238E27FC236}">
                  <a16:creationId xmlns:a16="http://schemas.microsoft.com/office/drawing/2014/main" id="{00000000-0008-0000-1200-00000B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43020" name="Check Box 12" hidden="1">
              <a:extLst>
                <a:ext uri="{63B3BB69-23CF-44E3-9099-C40C66FF867C}">
                  <a14:compatExt spid="_x0000_s43020"/>
                </a:ext>
                <a:ext uri="{FF2B5EF4-FFF2-40B4-BE49-F238E27FC236}">
                  <a16:creationId xmlns:a16="http://schemas.microsoft.com/office/drawing/2014/main" id="{00000000-0008-0000-1200-00000C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43021" name="Check Box 13" hidden="1">
              <a:extLst>
                <a:ext uri="{63B3BB69-23CF-44E3-9099-C40C66FF867C}">
                  <a14:compatExt spid="_x0000_s43021"/>
                </a:ext>
                <a:ext uri="{FF2B5EF4-FFF2-40B4-BE49-F238E27FC236}">
                  <a16:creationId xmlns:a16="http://schemas.microsoft.com/office/drawing/2014/main" id="{00000000-0008-0000-1200-00000D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  <xdr:twoCellAnchor>
    <xdr:from>
      <xdr:col>0</xdr:col>
      <xdr:colOff>637540</xdr:colOff>
      <xdr:row>40</xdr:row>
      <xdr:rowOff>173990</xdr:rowOff>
    </xdr:from>
    <xdr:to>
      <xdr:col>2</xdr:col>
      <xdr:colOff>199390</xdr:colOff>
      <xdr:row>41</xdr:row>
      <xdr:rowOff>187325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637540" y="7917815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="1" baseline="0"/>
        </a:p>
      </xdr:txBody>
    </xdr:sp>
    <xdr:clientData/>
  </xdr:twoCellAnchor>
  <xdr:twoCellAnchor>
    <xdr:from>
      <xdr:col>0</xdr:col>
      <xdr:colOff>274863</xdr:colOff>
      <xdr:row>41</xdr:row>
      <xdr:rowOff>130628</xdr:rowOff>
    </xdr:from>
    <xdr:to>
      <xdr:col>1</xdr:col>
      <xdr:colOff>865411</xdr:colOff>
      <xdr:row>42</xdr:row>
      <xdr:rowOff>144236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274863" y="8064953"/>
          <a:ext cx="2514598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/>
            <a:t>	</a:t>
          </a:r>
        </a:p>
        <a:p>
          <a:r>
            <a:rPr lang="en-US" sz="1100" baseline="0"/>
            <a:t>	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568910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762001</xdr:colOff>
      <xdr:row>0</xdr:row>
      <xdr:rowOff>489857</xdr:rowOff>
    </xdr:from>
    <xdr:to>
      <xdr:col>7</xdr:col>
      <xdr:colOff>34019</xdr:colOff>
      <xdr:row>1</xdr:row>
      <xdr:rowOff>81643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>
        <a:xfrm>
          <a:off x="5362576" y="489857"/>
          <a:ext cx="1043668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10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CSPC-F-PC-48c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372225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CxnSpPr/>
      </xdr:nvCxnSpPr>
      <xdr:spPr>
        <a:xfrm flipH="1">
          <a:off x="611332" y="1258289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44033" name="Check Box 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00000000-0008-0000-1300-000001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44034" name="Check Box 2" hidden="1">
              <a:extLst>
                <a:ext uri="{63B3BB69-23CF-44E3-9099-C40C66FF867C}">
                  <a14:compatExt spid="_x0000_s44034"/>
                </a:ext>
                <a:ext uri="{FF2B5EF4-FFF2-40B4-BE49-F238E27FC236}">
                  <a16:creationId xmlns:a16="http://schemas.microsoft.com/office/drawing/2014/main" id="{00000000-0008-0000-1300-000002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44035" name="Check Box 3" hidden="1">
              <a:extLst>
                <a:ext uri="{63B3BB69-23CF-44E3-9099-C40C66FF867C}">
                  <a14:compatExt spid="_x0000_s44035"/>
                </a:ext>
                <a:ext uri="{FF2B5EF4-FFF2-40B4-BE49-F238E27FC236}">
                  <a16:creationId xmlns:a16="http://schemas.microsoft.com/office/drawing/2014/main" id="{00000000-0008-0000-1300-000003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44036" name="Check Box 4" hidden="1">
              <a:extLst>
                <a:ext uri="{63B3BB69-23CF-44E3-9099-C40C66FF867C}">
                  <a14:compatExt spid="_x0000_s44036"/>
                </a:ext>
                <a:ext uri="{FF2B5EF4-FFF2-40B4-BE49-F238E27FC236}">
                  <a16:creationId xmlns:a16="http://schemas.microsoft.com/office/drawing/2014/main" id="{00000000-0008-0000-1300-000004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44037" name="Check Box 5" hidden="1">
              <a:extLst>
                <a:ext uri="{63B3BB69-23CF-44E3-9099-C40C66FF867C}">
                  <a14:compatExt spid="_x0000_s44037"/>
                </a:ext>
                <a:ext uri="{FF2B5EF4-FFF2-40B4-BE49-F238E27FC236}">
                  <a16:creationId xmlns:a16="http://schemas.microsoft.com/office/drawing/2014/main" id="{00000000-0008-0000-1300-000005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44038" name="Check Box 6" hidden="1">
              <a:extLst>
                <a:ext uri="{63B3BB69-23CF-44E3-9099-C40C66FF867C}">
                  <a14:compatExt spid="_x0000_s44038"/>
                </a:ext>
                <a:ext uri="{FF2B5EF4-FFF2-40B4-BE49-F238E27FC236}">
                  <a16:creationId xmlns:a16="http://schemas.microsoft.com/office/drawing/2014/main" id="{00000000-0008-0000-1300-000006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44039" name="Check Box 7" hidden="1">
              <a:extLst>
                <a:ext uri="{63B3BB69-23CF-44E3-9099-C40C66FF867C}">
                  <a14:compatExt spid="_x0000_s44039"/>
                </a:ext>
                <a:ext uri="{FF2B5EF4-FFF2-40B4-BE49-F238E27FC236}">
                  <a16:creationId xmlns:a16="http://schemas.microsoft.com/office/drawing/2014/main" id="{00000000-0008-0000-1300-000007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44040" name="Check Box 8" hidden="1">
              <a:extLst>
                <a:ext uri="{63B3BB69-23CF-44E3-9099-C40C66FF867C}">
                  <a14:compatExt spid="_x0000_s44040"/>
                </a:ext>
                <a:ext uri="{FF2B5EF4-FFF2-40B4-BE49-F238E27FC236}">
                  <a16:creationId xmlns:a16="http://schemas.microsoft.com/office/drawing/2014/main" id="{00000000-0008-0000-1300-000008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44041" name="Check Box 9" hidden="1">
              <a:extLst>
                <a:ext uri="{63B3BB69-23CF-44E3-9099-C40C66FF867C}">
                  <a14:compatExt spid="_x0000_s44041"/>
                </a:ext>
                <a:ext uri="{FF2B5EF4-FFF2-40B4-BE49-F238E27FC236}">
                  <a16:creationId xmlns:a16="http://schemas.microsoft.com/office/drawing/2014/main" id="{00000000-0008-0000-1300-000009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44042" name="Check Box 10" hidden="1">
              <a:extLst>
                <a:ext uri="{63B3BB69-23CF-44E3-9099-C40C66FF867C}">
                  <a14:compatExt spid="_x0000_s44042"/>
                </a:ext>
                <a:ext uri="{FF2B5EF4-FFF2-40B4-BE49-F238E27FC236}">
                  <a16:creationId xmlns:a16="http://schemas.microsoft.com/office/drawing/2014/main" id="{00000000-0008-0000-1300-00000A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44043" name="Check Box 11" hidden="1">
              <a:extLst>
                <a:ext uri="{63B3BB69-23CF-44E3-9099-C40C66FF867C}">
                  <a14:compatExt spid="_x0000_s44043"/>
                </a:ext>
                <a:ext uri="{FF2B5EF4-FFF2-40B4-BE49-F238E27FC236}">
                  <a16:creationId xmlns:a16="http://schemas.microsoft.com/office/drawing/2014/main" id="{00000000-0008-0000-1300-00000B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44044" name="Check Box 12" hidden="1">
              <a:extLst>
                <a:ext uri="{63B3BB69-23CF-44E3-9099-C40C66FF867C}">
                  <a14:compatExt spid="_x0000_s44044"/>
                </a:ext>
                <a:ext uri="{FF2B5EF4-FFF2-40B4-BE49-F238E27FC236}">
                  <a16:creationId xmlns:a16="http://schemas.microsoft.com/office/drawing/2014/main" id="{00000000-0008-0000-1300-00000C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44045" name="Check Box 13" hidden="1">
              <a:extLst>
                <a:ext uri="{63B3BB69-23CF-44E3-9099-C40C66FF867C}">
                  <a14:compatExt spid="_x0000_s44045"/>
                </a:ext>
                <a:ext uri="{FF2B5EF4-FFF2-40B4-BE49-F238E27FC236}">
                  <a16:creationId xmlns:a16="http://schemas.microsoft.com/office/drawing/2014/main" id="{00000000-0008-0000-1300-00000D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564696</xdr:colOff>
      <xdr:row>37</xdr:row>
      <xdr:rowOff>129267</xdr:rowOff>
    </xdr:from>
    <xdr:to>
      <xdr:col>1</xdr:col>
      <xdr:colOff>523874</xdr:colOff>
      <xdr:row>40</xdr:row>
      <xdr:rowOff>122463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564696" y="7301592"/>
          <a:ext cx="1883228" cy="564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Overtime</a:t>
          </a:r>
          <a:r>
            <a:rPr lang="en-US" sz="1100" baseline="0"/>
            <a:t> Pay			</a:t>
          </a:r>
          <a:endParaRPr 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673554</xdr:colOff>
      <xdr:row>40</xdr:row>
      <xdr:rowOff>88445</xdr:rowOff>
    </xdr:from>
    <xdr:to>
      <xdr:col>11</xdr:col>
      <xdr:colOff>217714</xdr:colOff>
      <xdr:row>49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E90732-349E-4FDC-AFDD-F07D0A6EAB84}"/>
            </a:ext>
          </a:extLst>
        </xdr:cNvPr>
        <xdr:cNvSpPr txBox="1"/>
      </xdr:nvSpPr>
      <xdr:spPr>
        <a:xfrm>
          <a:off x="7150554" y="7784645"/>
          <a:ext cx="2325460" cy="1854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A9814-E71D-401E-8969-E04FF7987A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DEFD36-82AA-49C5-84E4-5896477514B9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41830AB-8721-4B6D-8A39-859220E9383D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7368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0A79E84-8408-4C34-9A62-A8AD3553DAF2}"/>
            </a:ext>
          </a:extLst>
        </xdr:cNvPr>
        <xdr:cNvSpPr>
          <a:spLocks noChangeArrowheads="1"/>
        </xdr:cNvSpPr>
      </xdr:nvSpPr>
      <xdr:spPr>
        <a:xfrm>
          <a:off x="5304066" y="476249"/>
          <a:ext cx="128859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451186-9E3C-4DA1-A452-49D810A5B9CB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50</xdr:row>
      <xdr:rowOff>187175</xdr:rowOff>
    </xdr:from>
    <xdr:to>
      <xdr:col>7</xdr:col>
      <xdr:colOff>20411</xdr:colOff>
      <xdr:row>51</xdr:row>
      <xdr:rowOff>6804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CEAAF9D-BDD1-4E48-B939-42395396ACCF}"/>
            </a:ext>
          </a:extLst>
        </xdr:cNvPr>
        <xdr:cNvCxnSpPr>
          <a:cxnSpLocks noChangeShapeType="1"/>
        </xdr:cNvCxnSpPr>
      </xdr:nvCxnSpPr>
      <xdr:spPr>
        <a:xfrm>
          <a:off x="0" y="9874100"/>
          <a:ext cx="6497411" cy="10129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611331</xdr:colOff>
      <xdr:row>4</xdr:row>
      <xdr:rowOff>28203</xdr:rowOff>
    </xdr:from>
    <xdr:to>
      <xdr:col>3</xdr:col>
      <xdr:colOff>238124</xdr:colOff>
      <xdr:row>4</xdr:row>
      <xdr:rowOff>28203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79538F-B92B-4DB6-BFDE-9AD9EED10458}"/>
            </a:ext>
          </a:extLst>
        </xdr:cNvPr>
        <xdr:cNvCxnSpPr/>
      </xdr:nvCxnSpPr>
      <xdr:spPr>
        <a:xfrm flipH="1">
          <a:off x="611331" y="1285503"/>
          <a:ext cx="37511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11617" name="Check Box 1" hidden="1">
              <a:extLst>
                <a:ext uri="{63B3BB69-23CF-44E3-9099-C40C66FF867C}">
                  <a14:compatExt spid="_x0000_s111617"/>
                </a:ext>
                <a:ext uri="{FF2B5EF4-FFF2-40B4-BE49-F238E27FC236}">
                  <a16:creationId xmlns:a16="http://schemas.microsoft.com/office/drawing/2014/main" id="{00000000-0008-0000-1400-000001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11618" name="Check Box 2" hidden="1">
              <a:extLst>
                <a:ext uri="{63B3BB69-23CF-44E3-9099-C40C66FF867C}">
                  <a14:compatExt spid="_x0000_s111618"/>
                </a:ext>
                <a:ext uri="{FF2B5EF4-FFF2-40B4-BE49-F238E27FC236}">
                  <a16:creationId xmlns:a16="http://schemas.microsoft.com/office/drawing/2014/main" id="{00000000-0008-0000-1400-000002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11619" name="Check Box 3" hidden="1">
              <a:extLst>
                <a:ext uri="{63B3BB69-23CF-44E3-9099-C40C66FF867C}">
                  <a14:compatExt spid="_x0000_s111619"/>
                </a:ext>
                <a:ext uri="{FF2B5EF4-FFF2-40B4-BE49-F238E27FC236}">
                  <a16:creationId xmlns:a16="http://schemas.microsoft.com/office/drawing/2014/main" id="{00000000-0008-0000-1400-000003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11620" name="Check Box 4" hidden="1">
              <a:extLst>
                <a:ext uri="{63B3BB69-23CF-44E3-9099-C40C66FF867C}">
                  <a14:compatExt spid="_x0000_s111620"/>
                </a:ext>
                <a:ext uri="{FF2B5EF4-FFF2-40B4-BE49-F238E27FC236}">
                  <a16:creationId xmlns:a16="http://schemas.microsoft.com/office/drawing/2014/main" id="{00000000-0008-0000-1400-000004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11621" name="Check Box 5" hidden="1">
              <a:extLst>
                <a:ext uri="{63B3BB69-23CF-44E3-9099-C40C66FF867C}">
                  <a14:compatExt spid="_x0000_s111621"/>
                </a:ext>
                <a:ext uri="{FF2B5EF4-FFF2-40B4-BE49-F238E27FC236}">
                  <a16:creationId xmlns:a16="http://schemas.microsoft.com/office/drawing/2014/main" id="{00000000-0008-0000-1400-000005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11622" name="Check Box 6" hidden="1">
              <a:extLst>
                <a:ext uri="{63B3BB69-23CF-44E3-9099-C40C66FF867C}">
                  <a14:compatExt spid="_x0000_s111622"/>
                </a:ext>
                <a:ext uri="{FF2B5EF4-FFF2-40B4-BE49-F238E27FC236}">
                  <a16:creationId xmlns:a16="http://schemas.microsoft.com/office/drawing/2014/main" id="{00000000-0008-0000-1400-000006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11623" name="Check Box 7" hidden="1">
              <a:extLst>
                <a:ext uri="{63B3BB69-23CF-44E3-9099-C40C66FF867C}">
                  <a14:compatExt spid="_x0000_s111623"/>
                </a:ext>
                <a:ext uri="{FF2B5EF4-FFF2-40B4-BE49-F238E27FC236}">
                  <a16:creationId xmlns:a16="http://schemas.microsoft.com/office/drawing/2014/main" id="{00000000-0008-0000-1400-000007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11624" name="Check Box 8" hidden="1">
              <a:extLst>
                <a:ext uri="{63B3BB69-23CF-44E3-9099-C40C66FF867C}">
                  <a14:compatExt spid="_x0000_s111624"/>
                </a:ext>
                <a:ext uri="{FF2B5EF4-FFF2-40B4-BE49-F238E27FC236}">
                  <a16:creationId xmlns:a16="http://schemas.microsoft.com/office/drawing/2014/main" id="{00000000-0008-0000-1400-000008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11625" name="Check Box 9" hidden="1">
              <a:extLst>
                <a:ext uri="{63B3BB69-23CF-44E3-9099-C40C66FF867C}">
                  <a14:compatExt spid="_x0000_s111625"/>
                </a:ext>
                <a:ext uri="{FF2B5EF4-FFF2-40B4-BE49-F238E27FC236}">
                  <a16:creationId xmlns:a16="http://schemas.microsoft.com/office/drawing/2014/main" id="{00000000-0008-0000-1400-000009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11626" name="Check Box 10" hidden="1">
              <a:extLst>
                <a:ext uri="{63B3BB69-23CF-44E3-9099-C40C66FF867C}">
                  <a14:compatExt spid="_x0000_s111626"/>
                </a:ext>
                <a:ext uri="{FF2B5EF4-FFF2-40B4-BE49-F238E27FC236}">
                  <a16:creationId xmlns:a16="http://schemas.microsoft.com/office/drawing/2014/main" id="{00000000-0008-0000-1400-00000A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11627" name="Check Box 11" hidden="1">
              <a:extLst>
                <a:ext uri="{63B3BB69-23CF-44E3-9099-C40C66FF867C}">
                  <a14:compatExt spid="_x0000_s111627"/>
                </a:ext>
                <a:ext uri="{FF2B5EF4-FFF2-40B4-BE49-F238E27FC236}">
                  <a16:creationId xmlns:a16="http://schemas.microsoft.com/office/drawing/2014/main" id="{00000000-0008-0000-1400-00000B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11628" name="Check Box 12" hidden="1">
              <a:extLst>
                <a:ext uri="{63B3BB69-23CF-44E3-9099-C40C66FF867C}">
                  <a14:compatExt spid="_x0000_s111628"/>
                </a:ext>
                <a:ext uri="{FF2B5EF4-FFF2-40B4-BE49-F238E27FC236}">
                  <a16:creationId xmlns:a16="http://schemas.microsoft.com/office/drawing/2014/main" id="{00000000-0008-0000-1400-00000C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11629" name="Check Box 13" hidden="1">
              <a:extLst>
                <a:ext uri="{63B3BB69-23CF-44E3-9099-C40C66FF867C}">
                  <a14:compatExt spid="_x0000_s111629"/>
                </a:ext>
                <a:ext uri="{FF2B5EF4-FFF2-40B4-BE49-F238E27FC236}">
                  <a16:creationId xmlns:a16="http://schemas.microsoft.com/office/drawing/2014/main" id="{00000000-0008-0000-1400-00000D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578303</xdr:colOff>
      <xdr:row>37</xdr:row>
      <xdr:rowOff>0</xdr:rowOff>
    </xdr:from>
    <xdr:to>
      <xdr:col>2</xdr:col>
      <xdr:colOff>197304</xdr:colOff>
      <xdr:row>38</xdr:row>
      <xdr:rowOff>20411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AC3B9FC-3A0E-42B6-BF3E-1D46149A1EFA}"/>
            </a:ext>
          </a:extLst>
        </xdr:cNvPr>
        <xdr:cNvSpPr txBox="1"/>
      </xdr:nvSpPr>
      <xdr:spPr>
        <a:xfrm>
          <a:off x="578303" y="7124700"/>
          <a:ext cx="2457451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50" baseline="0"/>
            <a:t>	</a:t>
          </a:r>
        </a:p>
      </xdr:txBody>
    </xdr:sp>
    <xdr:clientData/>
  </xdr:twoCellAnchor>
  <xdr:twoCellAnchor>
    <xdr:from>
      <xdr:col>0</xdr:col>
      <xdr:colOff>387803</xdr:colOff>
      <xdr:row>37</xdr:row>
      <xdr:rowOff>176893</xdr:rowOff>
    </xdr:from>
    <xdr:to>
      <xdr:col>2</xdr:col>
      <xdr:colOff>20411</xdr:colOff>
      <xdr:row>39</xdr:row>
      <xdr:rowOff>6804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D4268A-DAC5-473B-B0DB-D021511A6BD9}"/>
            </a:ext>
          </a:extLst>
        </xdr:cNvPr>
        <xdr:cNvSpPr txBox="1"/>
      </xdr:nvSpPr>
      <xdr:spPr>
        <a:xfrm>
          <a:off x="387803" y="7301593"/>
          <a:ext cx="2471058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endParaRPr lang="en-US" sz="1050">
            <a:effectLst/>
          </a:endParaRPr>
        </a:p>
      </xdr:txBody>
    </xdr:sp>
    <xdr:clientData/>
  </xdr:twoCellAnchor>
  <xdr:twoCellAnchor>
    <xdr:from>
      <xdr:col>0</xdr:col>
      <xdr:colOff>597355</xdr:colOff>
      <xdr:row>37</xdr:row>
      <xdr:rowOff>141516</xdr:rowOff>
    </xdr:from>
    <xdr:to>
      <xdr:col>2</xdr:col>
      <xdr:colOff>32659</xdr:colOff>
      <xdr:row>38</xdr:row>
      <xdr:rowOff>183698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420493-F20A-4174-8215-F0075E8E9A74}"/>
            </a:ext>
          </a:extLst>
        </xdr:cNvPr>
        <xdr:cNvSpPr txBox="1"/>
      </xdr:nvSpPr>
      <xdr:spPr>
        <a:xfrm>
          <a:off x="597355" y="7266216"/>
          <a:ext cx="2273754" cy="232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579665</xdr:colOff>
      <xdr:row>40</xdr:row>
      <xdr:rowOff>157843</xdr:rowOff>
    </xdr:from>
    <xdr:to>
      <xdr:col>2</xdr:col>
      <xdr:colOff>14969</xdr:colOff>
      <xdr:row>41</xdr:row>
      <xdr:rowOff>178254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646D3A-92EA-4820-8BDB-CA2E8B8F3A18}"/>
            </a:ext>
          </a:extLst>
        </xdr:cNvPr>
        <xdr:cNvSpPr txBox="1"/>
      </xdr:nvSpPr>
      <xdr:spPr>
        <a:xfrm>
          <a:off x="579665" y="7854043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575583</xdr:colOff>
      <xdr:row>41</xdr:row>
      <xdr:rowOff>160565</xdr:rowOff>
    </xdr:from>
    <xdr:to>
      <xdr:col>2</xdr:col>
      <xdr:colOff>10887</xdr:colOff>
      <xdr:row>42</xdr:row>
      <xdr:rowOff>180976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D615118-D116-4AB0-9B59-C6F83CBB39CF}"/>
            </a:ext>
          </a:extLst>
        </xdr:cNvPr>
        <xdr:cNvSpPr txBox="1"/>
      </xdr:nvSpPr>
      <xdr:spPr>
        <a:xfrm>
          <a:off x="575583" y="8047265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551091</xdr:colOff>
      <xdr:row>43</xdr:row>
      <xdr:rowOff>0</xdr:rowOff>
    </xdr:from>
    <xdr:to>
      <xdr:col>1</xdr:col>
      <xdr:colOff>986520</xdr:colOff>
      <xdr:row>44</xdr:row>
      <xdr:rowOff>20411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7D4BCDA-1C85-4212-82E1-B37B7AD9E339}"/>
            </a:ext>
          </a:extLst>
        </xdr:cNvPr>
        <xdr:cNvSpPr txBox="1"/>
      </xdr:nvSpPr>
      <xdr:spPr>
        <a:xfrm>
          <a:off x="551091" y="8267700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571501</xdr:colOff>
      <xdr:row>38</xdr:row>
      <xdr:rowOff>123825</xdr:rowOff>
    </xdr:from>
    <xdr:to>
      <xdr:col>2</xdr:col>
      <xdr:colOff>123828</xdr:colOff>
      <xdr:row>39</xdr:row>
      <xdr:rowOff>144236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CEF989-B105-48B7-BF80-F569C5B8758A}"/>
            </a:ext>
          </a:extLst>
        </xdr:cNvPr>
        <xdr:cNvSpPr txBox="1"/>
      </xdr:nvSpPr>
      <xdr:spPr>
        <a:xfrm>
          <a:off x="571501" y="7439025"/>
          <a:ext cx="2390777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="0" baseline="0"/>
        </a:p>
      </xdr:txBody>
    </xdr:sp>
    <xdr:clientData/>
  </xdr:twoCellAnchor>
  <xdr:twoCellAnchor>
    <xdr:from>
      <xdr:col>0</xdr:col>
      <xdr:colOff>593273</xdr:colOff>
      <xdr:row>38</xdr:row>
      <xdr:rowOff>117022</xdr:rowOff>
    </xdr:from>
    <xdr:to>
      <xdr:col>2</xdr:col>
      <xdr:colOff>28577</xdr:colOff>
      <xdr:row>41</xdr:row>
      <xdr:rowOff>16329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CA27BD7-1063-4BAA-817B-9EF53F76219D}"/>
            </a:ext>
          </a:extLst>
        </xdr:cNvPr>
        <xdr:cNvSpPr txBox="1"/>
      </xdr:nvSpPr>
      <xdr:spPr>
        <a:xfrm>
          <a:off x="593273" y="7432222"/>
          <a:ext cx="2273754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	</a:t>
          </a:r>
        </a:p>
      </xdr:txBody>
    </xdr:sp>
    <xdr:clientData/>
  </xdr:twoCellAnchor>
  <xdr:twoCellAnchor>
    <xdr:from>
      <xdr:col>0</xdr:col>
      <xdr:colOff>572862</xdr:colOff>
      <xdr:row>38</xdr:row>
      <xdr:rowOff>130629</xdr:rowOff>
    </xdr:from>
    <xdr:to>
      <xdr:col>2</xdr:col>
      <xdr:colOff>8166</xdr:colOff>
      <xdr:row>39</xdr:row>
      <xdr:rowOff>170090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E581B2D-1470-456B-8A94-8AC3BFA26B22}"/>
            </a:ext>
          </a:extLst>
        </xdr:cNvPr>
        <xdr:cNvSpPr txBox="1"/>
      </xdr:nvSpPr>
      <xdr:spPr>
        <a:xfrm>
          <a:off x="572862" y="7445829"/>
          <a:ext cx="2273754" cy="229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568780</xdr:colOff>
      <xdr:row>39</xdr:row>
      <xdr:rowOff>133351</xdr:rowOff>
    </xdr:from>
    <xdr:to>
      <xdr:col>2</xdr:col>
      <xdr:colOff>4084</xdr:colOff>
      <xdr:row>40</xdr:row>
      <xdr:rowOff>156482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FEB4CAA-2A6F-4731-9449-B921E4F9F414}"/>
            </a:ext>
          </a:extLst>
        </xdr:cNvPr>
        <xdr:cNvSpPr txBox="1"/>
      </xdr:nvSpPr>
      <xdr:spPr>
        <a:xfrm>
          <a:off x="568780" y="7639051"/>
          <a:ext cx="2273754" cy="213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568780</xdr:colOff>
      <xdr:row>40</xdr:row>
      <xdr:rowOff>153762</xdr:rowOff>
    </xdr:from>
    <xdr:to>
      <xdr:col>2</xdr:col>
      <xdr:colOff>4084</xdr:colOff>
      <xdr:row>42</xdr:row>
      <xdr:rowOff>2723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305B3C-F13B-4B82-8E7B-348EA043ADC9}"/>
            </a:ext>
          </a:extLst>
        </xdr:cNvPr>
        <xdr:cNvSpPr txBox="1"/>
      </xdr:nvSpPr>
      <xdr:spPr>
        <a:xfrm>
          <a:off x="568780" y="7849962"/>
          <a:ext cx="2273754" cy="229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340179</xdr:colOff>
      <xdr:row>40</xdr:row>
      <xdr:rowOff>157299</xdr:rowOff>
    </xdr:from>
    <xdr:to>
      <xdr:col>1</xdr:col>
      <xdr:colOff>934358</xdr:colOff>
      <xdr:row>42</xdr:row>
      <xdr:rowOff>10887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04CD2A-7D65-42CA-A025-F3060EBDEE9B}"/>
            </a:ext>
          </a:extLst>
        </xdr:cNvPr>
        <xdr:cNvSpPr txBox="1"/>
      </xdr:nvSpPr>
      <xdr:spPr>
        <a:xfrm>
          <a:off x="340179" y="7853499"/>
          <a:ext cx="2432504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		</a:t>
          </a:r>
        </a:p>
      </xdr:txBody>
    </xdr:sp>
    <xdr:clientData/>
  </xdr:twoCellAnchor>
  <xdr:twoCellAnchor>
    <xdr:from>
      <xdr:col>0</xdr:col>
      <xdr:colOff>652688</xdr:colOff>
      <xdr:row>36</xdr:row>
      <xdr:rowOff>173264</xdr:rowOff>
    </xdr:from>
    <xdr:to>
      <xdr:col>2</xdr:col>
      <xdr:colOff>87992</xdr:colOff>
      <xdr:row>38</xdr:row>
      <xdr:rowOff>26852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BA12734-D49D-4138-95EC-39BB858DCE4E}"/>
            </a:ext>
          </a:extLst>
        </xdr:cNvPr>
        <xdr:cNvSpPr txBox="1"/>
      </xdr:nvSpPr>
      <xdr:spPr>
        <a:xfrm>
          <a:off x="652688" y="7107464"/>
          <a:ext cx="2273754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OVERTIME PAYMENT 			</a:t>
          </a:r>
        </a:p>
      </xdr:txBody>
    </xdr:sp>
    <xdr:clientData/>
  </xdr:twoCellAnchor>
  <xdr:twoCellAnchor>
    <xdr:from>
      <xdr:col>0</xdr:col>
      <xdr:colOff>632277</xdr:colOff>
      <xdr:row>37</xdr:row>
      <xdr:rowOff>167822</xdr:rowOff>
    </xdr:from>
    <xdr:to>
      <xdr:col>2</xdr:col>
      <xdr:colOff>67581</xdr:colOff>
      <xdr:row>39</xdr:row>
      <xdr:rowOff>21410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07C2068-7BFC-4421-9A1B-E8C040858EEE}"/>
            </a:ext>
          </a:extLst>
        </xdr:cNvPr>
        <xdr:cNvSpPr txBox="1"/>
      </xdr:nvSpPr>
      <xdr:spPr>
        <a:xfrm>
          <a:off x="632277" y="7291161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RED CARPET			</a:t>
          </a:r>
        </a:p>
      </xdr:txBody>
    </xdr:sp>
    <xdr:clientData/>
  </xdr:twoCellAnchor>
  <xdr:twoCellAnchor>
    <xdr:from>
      <xdr:col>0</xdr:col>
      <xdr:colOff>607784</xdr:colOff>
      <xdr:row>38</xdr:row>
      <xdr:rowOff>177347</xdr:rowOff>
    </xdr:from>
    <xdr:to>
      <xdr:col>2</xdr:col>
      <xdr:colOff>43088</xdr:colOff>
      <xdr:row>40</xdr:row>
      <xdr:rowOff>30935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063D204-5AC0-49BD-BC31-BF84AC7B0A4E}"/>
            </a:ext>
          </a:extLst>
        </xdr:cNvPr>
        <xdr:cNvSpPr txBox="1"/>
      </xdr:nvSpPr>
      <xdr:spPr>
        <a:xfrm>
          <a:off x="607784" y="7491186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ELECTRICITY CHARGE: LIVE BAND			</a:t>
          </a:r>
        </a:p>
      </xdr:txBody>
    </xdr:sp>
    <xdr:clientData/>
  </xdr:twoCellAnchor>
  <xdr:twoCellAnchor>
    <xdr:from>
      <xdr:col>0</xdr:col>
      <xdr:colOff>603702</xdr:colOff>
      <xdr:row>39</xdr:row>
      <xdr:rowOff>166461</xdr:rowOff>
    </xdr:from>
    <xdr:to>
      <xdr:col>2</xdr:col>
      <xdr:colOff>39006</xdr:colOff>
      <xdr:row>41</xdr:row>
      <xdr:rowOff>20049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BFEAEA-4CD3-41D4-8BCB-CCCF07AC844D}"/>
            </a:ext>
          </a:extLst>
        </xdr:cNvPr>
        <xdr:cNvSpPr txBox="1"/>
      </xdr:nvSpPr>
      <xdr:spPr>
        <a:xfrm>
          <a:off x="603702" y="7670800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ELECTRICITY CHARGE: SOUND SYSTEM			</a:t>
          </a:r>
        </a:p>
      </xdr:txBody>
    </xdr:sp>
    <xdr:clientData/>
  </xdr:twoCellAnchor>
  <xdr:twoCellAnchor>
    <xdr:from>
      <xdr:col>0</xdr:col>
      <xdr:colOff>599620</xdr:colOff>
      <xdr:row>40</xdr:row>
      <xdr:rowOff>175986</xdr:rowOff>
    </xdr:from>
    <xdr:to>
      <xdr:col>2</xdr:col>
      <xdr:colOff>34924</xdr:colOff>
      <xdr:row>42</xdr:row>
      <xdr:rowOff>29574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0744003-EFFB-4F42-9103-D470214D332C}"/>
            </a:ext>
          </a:extLst>
        </xdr:cNvPr>
        <xdr:cNvSpPr txBox="1"/>
      </xdr:nvSpPr>
      <xdr:spPr>
        <a:xfrm>
          <a:off x="599620" y="7870825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ELECTRICITY CHARGE: LIGHTS			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673554</xdr:colOff>
      <xdr:row>40</xdr:row>
      <xdr:rowOff>88445</xdr:rowOff>
    </xdr:from>
    <xdr:to>
      <xdr:col>11</xdr:col>
      <xdr:colOff>217714</xdr:colOff>
      <xdr:row>49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AED285-65F0-4D81-A018-D159C581F67A}"/>
            </a:ext>
          </a:extLst>
        </xdr:cNvPr>
        <xdr:cNvSpPr txBox="1"/>
      </xdr:nvSpPr>
      <xdr:spPr>
        <a:xfrm>
          <a:off x="7150554" y="7784645"/>
          <a:ext cx="2325460" cy="1854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9FAD51-A55A-45A7-A089-45DFF999DC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77F4A9-E035-4C48-91A6-241B681B182A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963A8FE-2631-462A-AB81-C9F99D9BF6D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7368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2343E58-547C-439A-BF1C-FD6D381B1DD7}"/>
            </a:ext>
          </a:extLst>
        </xdr:cNvPr>
        <xdr:cNvSpPr>
          <a:spLocks noChangeArrowheads="1"/>
        </xdr:cNvSpPr>
      </xdr:nvSpPr>
      <xdr:spPr>
        <a:xfrm>
          <a:off x="5304066" y="476249"/>
          <a:ext cx="128859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CB35F7-1C75-4FAA-A4D3-79E894F565B8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50</xdr:row>
      <xdr:rowOff>187175</xdr:rowOff>
    </xdr:from>
    <xdr:to>
      <xdr:col>7</xdr:col>
      <xdr:colOff>20411</xdr:colOff>
      <xdr:row>51</xdr:row>
      <xdr:rowOff>6804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C55C13B-9E5F-4234-A5AA-BD1280626FBB}"/>
            </a:ext>
          </a:extLst>
        </xdr:cNvPr>
        <xdr:cNvCxnSpPr>
          <a:cxnSpLocks noChangeShapeType="1"/>
        </xdr:cNvCxnSpPr>
      </xdr:nvCxnSpPr>
      <xdr:spPr>
        <a:xfrm>
          <a:off x="0" y="9874100"/>
          <a:ext cx="6497411" cy="10129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611331</xdr:colOff>
      <xdr:row>4</xdr:row>
      <xdr:rowOff>28203</xdr:rowOff>
    </xdr:from>
    <xdr:to>
      <xdr:col>3</xdr:col>
      <xdr:colOff>238124</xdr:colOff>
      <xdr:row>4</xdr:row>
      <xdr:rowOff>28203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1E88CFF-D48A-4491-9EF2-489F19009F3A}"/>
            </a:ext>
          </a:extLst>
        </xdr:cNvPr>
        <xdr:cNvCxnSpPr/>
      </xdr:nvCxnSpPr>
      <xdr:spPr>
        <a:xfrm flipH="1">
          <a:off x="611331" y="1285503"/>
          <a:ext cx="37511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12641" name="Check Box 1" hidden="1">
              <a:extLst>
                <a:ext uri="{63B3BB69-23CF-44E3-9099-C40C66FF867C}">
                  <a14:compatExt spid="_x0000_s112641"/>
                </a:ext>
                <a:ext uri="{FF2B5EF4-FFF2-40B4-BE49-F238E27FC236}">
                  <a16:creationId xmlns:a16="http://schemas.microsoft.com/office/drawing/2014/main" id="{00000000-0008-0000-1500-000001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12642" name="Check Box 2" hidden="1">
              <a:extLst>
                <a:ext uri="{63B3BB69-23CF-44E3-9099-C40C66FF867C}">
                  <a14:compatExt spid="_x0000_s112642"/>
                </a:ext>
                <a:ext uri="{FF2B5EF4-FFF2-40B4-BE49-F238E27FC236}">
                  <a16:creationId xmlns:a16="http://schemas.microsoft.com/office/drawing/2014/main" id="{00000000-0008-0000-1500-000002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12643" name="Check Box 3" hidden="1">
              <a:extLst>
                <a:ext uri="{63B3BB69-23CF-44E3-9099-C40C66FF867C}">
                  <a14:compatExt spid="_x0000_s112643"/>
                </a:ext>
                <a:ext uri="{FF2B5EF4-FFF2-40B4-BE49-F238E27FC236}">
                  <a16:creationId xmlns:a16="http://schemas.microsoft.com/office/drawing/2014/main" id="{00000000-0008-0000-1500-000003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12644" name="Check Box 4" hidden="1">
              <a:extLst>
                <a:ext uri="{63B3BB69-23CF-44E3-9099-C40C66FF867C}">
                  <a14:compatExt spid="_x0000_s112644"/>
                </a:ext>
                <a:ext uri="{FF2B5EF4-FFF2-40B4-BE49-F238E27FC236}">
                  <a16:creationId xmlns:a16="http://schemas.microsoft.com/office/drawing/2014/main" id="{00000000-0008-0000-1500-000004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12645" name="Check Box 5" hidden="1">
              <a:extLst>
                <a:ext uri="{63B3BB69-23CF-44E3-9099-C40C66FF867C}">
                  <a14:compatExt spid="_x0000_s112645"/>
                </a:ext>
                <a:ext uri="{FF2B5EF4-FFF2-40B4-BE49-F238E27FC236}">
                  <a16:creationId xmlns:a16="http://schemas.microsoft.com/office/drawing/2014/main" id="{00000000-0008-0000-1500-000005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12646" name="Check Box 6" hidden="1">
              <a:extLst>
                <a:ext uri="{63B3BB69-23CF-44E3-9099-C40C66FF867C}">
                  <a14:compatExt spid="_x0000_s112646"/>
                </a:ext>
                <a:ext uri="{FF2B5EF4-FFF2-40B4-BE49-F238E27FC236}">
                  <a16:creationId xmlns:a16="http://schemas.microsoft.com/office/drawing/2014/main" id="{00000000-0008-0000-1500-000006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12647" name="Check Box 7" hidden="1">
              <a:extLst>
                <a:ext uri="{63B3BB69-23CF-44E3-9099-C40C66FF867C}">
                  <a14:compatExt spid="_x0000_s112647"/>
                </a:ext>
                <a:ext uri="{FF2B5EF4-FFF2-40B4-BE49-F238E27FC236}">
                  <a16:creationId xmlns:a16="http://schemas.microsoft.com/office/drawing/2014/main" id="{00000000-0008-0000-1500-000007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12648" name="Check Box 8" hidden="1">
              <a:extLst>
                <a:ext uri="{63B3BB69-23CF-44E3-9099-C40C66FF867C}">
                  <a14:compatExt spid="_x0000_s112648"/>
                </a:ext>
                <a:ext uri="{FF2B5EF4-FFF2-40B4-BE49-F238E27FC236}">
                  <a16:creationId xmlns:a16="http://schemas.microsoft.com/office/drawing/2014/main" id="{00000000-0008-0000-1500-000008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12649" name="Check Box 9" hidden="1">
              <a:extLst>
                <a:ext uri="{63B3BB69-23CF-44E3-9099-C40C66FF867C}">
                  <a14:compatExt spid="_x0000_s112649"/>
                </a:ext>
                <a:ext uri="{FF2B5EF4-FFF2-40B4-BE49-F238E27FC236}">
                  <a16:creationId xmlns:a16="http://schemas.microsoft.com/office/drawing/2014/main" id="{00000000-0008-0000-1500-000009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12650" name="Check Box 10" hidden="1">
              <a:extLst>
                <a:ext uri="{63B3BB69-23CF-44E3-9099-C40C66FF867C}">
                  <a14:compatExt spid="_x0000_s112650"/>
                </a:ext>
                <a:ext uri="{FF2B5EF4-FFF2-40B4-BE49-F238E27FC236}">
                  <a16:creationId xmlns:a16="http://schemas.microsoft.com/office/drawing/2014/main" id="{00000000-0008-0000-1500-00000A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12651" name="Check Box 11" hidden="1">
              <a:extLst>
                <a:ext uri="{63B3BB69-23CF-44E3-9099-C40C66FF867C}">
                  <a14:compatExt spid="_x0000_s112651"/>
                </a:ext>
                <a:ext uri="{FF2B5EF4-FFF2-40B4-BE49-F238E27FC236}">
                  <a16:creationId xmlns:a16="http://schemas.microsoft.com/office/drawing/2014/main" id="{00000000-0008-0000-1500-00000B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12652" name="Check Box 12" hidden="1">
              <a:extLst>
                <a:ext uri="{63B3BB69-23CF-44E3-9099-C40C66FF867C}">
                  <a14:compatExt spid="_x0000_s112652"/>
                </a:ext>
                <a:ext uri="{FF2B5EF4-FFF2-40B4-BE49-F238E27FC236}">
                  <a16:creationId xmlns:a16="http://schemas.microsoft.com/office/drawing/2014/main" id="{00000000-0008-0000-1500-00000C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12653" name="Check Box 13" hidden="1">
              <a:extLst>
                <a:ext uri="{63B3BB69-23CF-44E3-9099-C40C66FF867C}">
                  <a14:compatExt spid="_x0000_s112653"/>
                </a:ext>
                <a:ext uri="{FF2B5EF4-FFF2-40B4-BE49-F238E27FC236}">
                  <a16:creationId xmlns:a16="http://schemas.microsoft.com/office/drawing/2014/main" id="{00000000-0008-0000-1500-00000D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578303</xdr:colOff>
      <xdr:row>37</xdr:row>
      <xdr:rowOff>0</xdr:rowOff>
    </xdr:from>
    <xdr:to>
      <xdr:col>2</xdr:col>
      <xdr:colOff>197304</xdr:colOff>
      <xdr:row>38</xdr:row>
      <xdr:rowOff>20411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BB8352-904D-4713-AF05-C5B45E625C36}"/>
            </a:ext>
          </a:extLst>
        </xdr:cNvPr>
        <xdr:cNvSpPr txBox="1"/>
      </xdr:nvSpPr>
      <xdr:spPr>
        <a:xfrm>
          <a:off x="578303" y="7124700"/>
          <a:ext cx="2457451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50" baseline="0"/>
            <a:t>	</a:t>
          </a:r>
        </a:p>
      </xdr:txBody>
    </xdr:sp>
    <xdr:clientData/>
  </xdr:twoCellAnchor>
  <xdr:twoCellAnchor>
    <xdr:from>
      <xdr:col>0</xdr:col>
      <xdr:colOff>387803</xdr:colOff>
      <xdr:row>37</xdr:row>
      <xdr:rowOff>176893</xdr:rowOff>
    </xdr:from>
    <xdr:to>
      <xdr:col>2</xdr:col>
      <xdr:colOff>20411</xdr:colOff>
      <xdr:row>39</xdr:row>
      <xdr:rowOff>6804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0DC88D-1E04-4BF0-8A41-7A3BEBE7A17A}"/>
            </a:ext>
          </a:extLst>
        </xdr:cNvPr>
        <xdr:cNvSpPr txBox="1"/>
      </xdr:nvSpPr>
      <xdr:spPr>
        <a:xfrm>
          <a:off x="387803" y="7301593"/>
          <a:ext cx="2471058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endParaRPr lang="en-US" sz="1050">
            <a:effectLst/>
          </a:endParaRPr>
        </a:p>
      </xdr:txBody>
    </xdr:sp>
    <xdr:clientData/>
  </xdr:twoCellAnchor>
  <xdr:twoCellAnchor>
    <xdr:from>
      <xdr:col>0</xdr:col>
      <xdr:colOff>597355</xdr:colOff>
      <xdr:row>37</xdr:row>
      <xdr:rowOff>141516</xdr:rowOff>
    </xdr:from>
    <xdr:to>
      <xdr:col>2</xdr:col>
      <xdr:colOff>32659</xdr:colOff>
      <xdr:row>38</xdr:row>
      <xdr:rowOff>183698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EED3339-25D6-4778-89F9-93F64ED8B9D0}"/>
            </a:ext>
          </a:extLst>
        </xdr:cNvPr>
        <xdr:cNvSpPr txBox="1"/>
      </xdr:nvSpPr>
      <xdr:spPr>
        <a:xfrm>
          <a:off x="597355" y="7266216"/>
          <a:ext cx="2273754" cy="232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579665</xdr:colOff>
      <xdr:row>40</xdr:row>
      <xdr:rowOff>157843</xdr:rowOff>
    </xdr:from>
    <xdr:to>
      <xdr:col>2</xdr:col>
      <xdr:colOff>14969</xdr:colOff>
      <xdr:row>41</xdr:row>
      <xdr:rowOff>178254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00676CA-1C13-42E4-A42A-141CB4115BFE}"/>
            </a:ext>
          </a:extLst>
        </xdr:cNvPr>
        <xdr:cNvSpPr txBox="1"/>
      </xdr:nvSpPr>
      <xdr:spPr>
        <a:xfrm>
          <a:off x="579665" y="7854043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575583</xdr:colOff>
      <xdr:row>41</xdr:row>
      <xdr:rowOff>160565</xdr:rowOff>
    </xdr:from>
    <xdr:to>
      <xdr:col>2</xdr:col>
      <xdr:colOff>10887</xdr:colOff>
      <xdr:row>42</xdr:row>
      <xdr:rowOff>180976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1ED7DB-D1F3-43B2-A6D4-B3FF0D185235}"/>
            </a:ext>
          </a:extLst>
        </xdr:cNvPr>
        <xdr:cNvSpPr txBox="1"/>
      </xdr:nvSpPr>
      <xdr:spPr>
        <a:xfrm>
          <a:off x="575583" y="8047265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551091</xdr:colOff>
      <xdr:row>43</xdr:row>
      <xdr:rowOff>0</xdr:rowOff>
    </xdr:from>
    <xdr:to>
      <xdr:col>1</xdr:col>
      <xdr:colOff>986520</xdr:colOff>
      <xdr:row>44</xdr:row>
      <xdr:rowOff>20411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200C954-E256-4EE2-994F-C19901681191}"/>
            </a:ext>
          </a:extLst>
        </xdr:cNvPr>
        <xdr:cNvSpPr txBox="1"/>
      </xdr:nvSpPr>
      <xdr:spPr>
        <a:xfrm>
          <a:off x="551091" y="8267700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571501</xdr:colOff>
      <xdr:row>38</xdr:row>
      <xdr:rowOff>123825</xdr:rowOff>
    </xdr:from>
    <xdr:to>
      <xdr:col>2</xdr:col>
      <xdr:colOff>123828</xdr:colOff>
      <xdr:row>39</xdr:row>
      <xdr:rowOff>144236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05E26A4-79DB-4E01-8ED0-526DB277D742}"/>
            </a:ext>
          </a:extLst>
        </xdr:cNvPr>
        <xdr:cNvSpPr txBox="1"/>
      </xdr:nvSpPr>
      <xdr:spPr>
        <a:xfrm>
          <a:off x="571501" y="7439025"/>
          <a:ext cx="2390777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="0" baseline="0"/>
        </a:p>
      </xdr:txBody>
    </xdr:sp>
    <xdr:clientData/>
  </xdr:twoCellAnchor>
  <xdr:twoCellAnchor>
    <xdr:from>
      <xdr:col>0</xdr:col>
      <xdr:colOff>593273</xdr:colOff>
      <xdr:row>38</xdr:row>
      <xdr:rowOff>117022</xdr:rowOff>
    </xdr:from>
    <xdr:to>
      <xdr:col>2</xdr:col>
      <xdr:colOff>28577</xdr:colOff>
      <xdr:row>41</xdr:row>
      <xdr:rowOff>16329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25EF030-AFBF-4D91-B1C1-F294508D0DCF}"/>
            </a:ext>
          </a:extLst>
        </xdr:cNvPr>
        <xdr:cNvSpPr txBox="1"/>
      </xdr:nvSpPr>
      <xdr:spPr>
        <a:xfrm>
          <a:off x="593273" y="7432222"/>
          <a:ext cx="2273754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	</a:t>
          </a:r>
        </a:p>
      </xdr:txBody>
    </xdr:sp>
    <xdr:clientData/>
  </xdr:twoCellAnchor>
  <xdr:twoCellAnchor>
    <xdr:from>
      <xdr:col>0</xdr:col>
      <xdr:colOff>572862</xdr:colOff>
      <xdr:row>38</xdr:row>
      <xdr:rowOff>130629</xdr:rowOff>
    </xdr:from>
    <xdr:to>
      <xdr:col>2</xdr:col>
      <xdr:colOff>8166</xdr:colOff>
      <xdr:row>39</xdr:row>
      <xdr:rowOff>170090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9DDB917-2BDC-4223-9F05-14D6525A5D6F}"/>
            </a:ext>
          </a:extLst>
        </xdr:cNvPr>
        <xdr:cNvSpPr txBox="1"/>
      </xdr:nvSpPr>
      <xdr:spPr>
        <a:xfrm>
          <a:off x="572862" y="7445829"/>
          <a:ext cx="2273754" cy="229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568780</xdr:colOff>
      <xdr:row>39</xdr:row>
      <xdr:rowOff>133351</xdr:rowOff>
    </xdr:from>
    <xdr:to>
      <xdr:col>2</xdr:col>
      <xdr:colOff>4084</xdr:colOff>
      <xdr:row>40</xdr:row>
      <xdr:rowOff>156482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9EC356F-37E8-4C7D-A2FC-5BD1CAB547C5}"/>
            </a:ext>
          </a:extLst>
        </xdr:cNvPr>
        <xdr:cNvSpPr txBox="1"/>
      </xdr:nvSpPr>
      <xdr:spPr>
        <a:xfrm>
          <a:off x="568780" y="7639051"/>
          <a:ext cx="2273754" cy="213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617311</xdr:colOff>
      <xdr:row>36</xdr:row>
      <xdr:rowOff>173628</xdr:rowOff>
    </xdr:from>
    <xdr:to>
      <xdr:col>2</xdr:col>
      <xdr:colOff>52615</xdr:colOff>
      <xdr:row>38</xdr:row>
      <xdr:rowOff>27216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787ECFB-96A8-4FD0-A97C-F37FED923DBE}"/>
            </a:ext>
          </a:extLst>
        </xdr:cNvPr>
        <xdr:cNvSpPr txBox="1"/>
      </xdr:nvSpPr>
      <xdr:spPr>
        <a:xfrm>
          <a:off x="617311" y="7107828"/>
          <a:ext cx="2273754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OVERTIME PAYMENT		</a:t>
          </a:r>
        </a:p>
      </xdr:txBody>
    </xdr:sp>
    <xdr:clientData/>
  </xdr:twoCellAnchor>
  <xdr:twoCellAnchor>
    <xdr:from>
      <xdr:col>0</xdr:col>
      <xdr:colOff>568780</xdr:colOff>
      <xdr:row>40</xdr:row>
      <xdr:rowOff>153762</xdr:rowOff>
    </xdr:from>
    <xdr:to>
      <xdr:col>2</xdr:col>
      <xdr:colOff>4084</xdr:colOff>
      <xdr:row>42</xdr:row>
      <xdr:rowOff>2723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C56D788-0FD0-4C38-B288-32014676FA25}"/>
            </a:ext>
          </a:extLst>
        </xdr:cNvPr>
        <xdr:cNvSpPr txBox="1"/>
      </xdr:nvSpPr>
      <xdr:spPr>
        <a:xfrm>
          <a:off x="568780" y="7849962"/>
          <a:ext cx="2273754" cy="229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579211</xdr:colOff>
      <xdr:row>37</xdr:row>
      <xdr:rowOff>155939</xdr:rowOff>
    </xdr:from>
    <xdr:to>
      <xdr:col>2</xdr:col>
      <xdr:colOff>14515</xdr:colOff>
      <xdr:row>39</xdr:row>
      <xdr:rowOff>9527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CCA442C-BBBD-4053-9DE0-78216F3A4228}"/>
            </a:ext>
          </a:extLst>
        </xdr:cNvPr>
        <xdr:cNvSpPr txBox="1"/>
      </xdr:nvSpPr>
      <xdr:spPr>
        <a:xfrm>
          <a:off x="579211" y="7280639"/>
          <a:ext cx="2273754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ELECTRICITY CHARGE: PHOTOBOOTH		</a:t>
          </a:r>
        </a:p>
      </xdr:txBody>
    </xdr:sp>
    <xdr:clientData/>
  </xdr:twoCellAnchor>
  <xdr:twoCellAnchor>
    <xdr:from>
      <xdr:col>0</xdr:col>
      <xdr:colOff>568325</xdr:colOff>
      <xdr:row>38</xdr:row>
      <xdr:rowOff>165464</xdr:rowOff>
    </xdr:from>
    <xdr:to>
      <xdr:col>2</xdr:col>
      <xdr:colOff>3629</xdr:colOff>
      <xdr:row>40</xdr:row>
      <xdr:rowOff>19052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19B3422-98D3-4E6F-B64E-3FB01624C67C}"/>
            </a:ext>
          </a:extLst>
        </xdr:cNvPr>
        <xdr:cNvSpPr txBox="1"/>
      </xdr:nvSpPr>
      <xdr:spPr>
        <a:xfrm>
          <a:off x="568325" y="7480664"/>
          <a:ext cx="2273754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RED CARPET		</a:t>
          </a:r>
        </a:p>
      </xdr:txBody>
    </xdr:sp>
    <xdr:clientData/>
  </xdr:twoCellAnchor>
  <xdr:twoCellAnchor>
    <xdr:from>
      <xdr:col>0</xdr:col>
      <xdr:colOff>579211</xdr:colOff>
      <xdr:row>40</xdr:row>
      <xdr:rowOff>818</xdr:rowOff>
    </xdr:from>
    <xdr:to>
      <xdr:col>2</xdr:col>
      <xdr:colOff>14515</xdr:colOff>
      <xdr:row>41</xdr:row>
      <xdr:rowOff>44906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78F3132-DD15-4762-A32B-89C8E07588BC}"/>
            </a:ext>
          </a:extLst>
        </xdr:cNvPr>
        <xdr:cNvSpPr txBox="1"/>
      </xdr:nvSpPr>
      <xdr:spPr>
        <a:xfrm>
          <a:off x="579211" y="7695657"/>
          <a:ext cx="2272393" cy="234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ELECTRICITY CHARGE: LIVE BAND</a:t>
          </a:r>
        </a:p>
        <a:p>
          <a:r>
            <a:rPr lang="en-US" sz="1000" b="0" baseline="0"/>
            <a:t>		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673554</xdr:colOff>
      <xdr:row>40</xdr:row>
      <xdr:rowOff>88445</xdr:rowOff>
    </xdr:from>
    <xdr:to>
      <xdr:col>11</xdr:col>
      <xdr:colOff>217714</xdr:colOff>
      <xdr:row>49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024402-5059-4F8D-8FD5-8839007340FE}"/>
            </a:ext>
          </a:extLst>
        </xdr:cNvPr>
        <xdr:cNvSpPr txBox="1"/>
      </xdr:nvSpPr>
      <xdr:spPr>
        <a:xfrm>
          <a:off x="7150554" y="7784645"/>
          <a:ext cx="2325460" cy="1854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RED CARPET</a:t>
          </a:r>
          <a:endParaRPr lang="en-US" sz="1050" baseline="0"/>
        </a:p>
        <a:p>
          <a:r>
            <a:rPr lang="en-US" sz="1100" baseline="0"/>
            <a:t>LED WALL TV</a:t>
          </a:r>
        </a:p>
        <a:p>
          <a:r>
            <a:rPr lang="en-US" sz="1100" baseline="0"/>
            <a:t>LIVE BAND</a:t>
          </a:r>
        </a:p>
        <a:p>
          <a:r>
            <a:rPr lang="en-US" sz="1100" baseline="0"/>
            <a:t>SOUND SYSTEM</a:t>
          </a:r>
        </a:p>
        <a:p>
          <a:endParaRPr lang="en-US" sz="700" baseline="0"/>
        </a:p>
        <a:p>
          <a:r>
            <a:rPr lang="en-US" sz="1100" baseline="0"/>
            <a:t>SPECIAL LIGHTS</a:t>
          </a:r>
        </a:p>
        <a:p>
          <a:r>
            <a:rPr lang="en-US" sz="1100" baseline="0"/>
            <a:t>PHOTOBOOTH</a:t>
          </a:r>
        </a:p>
        <a:p>
          <a:r>
            <a:rPr lang="en-US" sz="1100" baseline="0"/>
            <a:t>OVERTIME PAYMENT</a:t>
          </a:r>
        </a:p>
      </xdr:txBody>
    </xdr:sp>
    <xdr:clientData/>
  </xdr:twoCellAnchor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F70D1-DA65-4E67-B25F-A6140EB0D5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D79DA2-E69A-4480-B3A6-73F24C2AB75D}"/>
            </a:ext>
          </a:extLst>
        </xdr:cNvPr>
        <xdr:cNvSpPr txBox="1"/>
      </xdr:nvSpPr>
      <xdr:spPr>
        <a:xfrm>
          <a:off x="600075" y="9525"/>
          <a:ext cx="29718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CF06BF8-77CD-49BD-8529-3C8F64A2EE3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7368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946C21-C1D1-4616-833D-F935D60393B2}"/>
            </a:ext>
          </a:extLst>
        </xdr:cNvPr>
        <xdr:cNvSpPr>
          <a:spLocks noChangeArrowheads="1"/>
        </xdr:cNvSpPr>
      </xdr:nvSpPr>
      <xdr:spPr>
        <a:xfrm>
          <a:off x="5304066" y="476249"/>
          <a:ext cx="128859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244C12-1C6E-4669-AF80-1142B9887C89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50</xdr:row>
      <xdr:rowOff>187175</xdr:rowOff>
    </xdr:from>
    <xdr:to>
      <xdr:col>7</xdr:col>
      <xdr:colOff>20411</xdr:colOff>
      <xdr:row>51</xdr:row>
      <xdr:rowOff>6804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95AE149-63A6-4F2A-B26F-639BB6CC74AE}"/>
            </a:ext>
          </a:extLst>
        </xdr:cNvPr>
        <xdr:cNvCxnSpPr>
          <a:cxnSpLocks noChangeShapeType="1"/>
        </xdr:cNvCxnSpPr>
      </xdr:nvCxnSpPr>
      <xdr:spPr>
        <a:xfrm>
          <a:off x="0" y="9874100"/>
          <a:ext cx="6497411" cy="10129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611331</xdr:colOff>
      <xdr:row>4</xdr:row>
      <xdr:rowOff>28203</xdr:rowOff>
    </xdr:from>
    <xdr:to>
      <xdr:col>3</xdr:col>
      <xdr:colOff>238124</xdr:colOff>
      <xdr:row>4</xdr:row>
      <xdr:rowOff>28203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2621B24-8F0A-4868-8B2B-7A714E9C1FFB}"/>
            </a:ext>
          </a:extLst>
        </xdr:cNvPr>
        <xdr:cNvCxnSpPr/>
      </xdr:nvCxnSpPr>
      <xdr:spPr>
        <a:xfrm flipH="1">
          <a:off x="611331" y="1285503"/>
          <a:ext cx="37511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4</xdr:row>
          <xdr:rowOff>190500</xdr:rowOff>
        </xdr:from>
        <xdr:to>
          <xdr:col>1</xdr:col>
          <xdr:colOff>809625</xdr:colOff>
          <xdr:row>6</xdr:row>
          <xdr:rowOff>28575</xdr:rowOff>
        </xdr:to>
        <xdr:sp macro="" textlink="">
          <xdr:nvSpPr>
            <xdr:cNvPr id="113665" name="Check Box 1" hidden="1">
              <a:extLst>
                <a:ext uri="{63B3BB69-23CF-44E3-9099-C40C66FF867C}">
                  <a14:compatExt spid="_x0000_s113665"/>
                </a:ext>
                <a:ext uri="{FF2B5EF4-FFF2-40B4-BE49-F238E27FC236}">
                  <a16:creationId xmlns:a16="http://schemas.microsoft.com/office/drawing/2014/main" id="{00000000-0008-0000-1600-000001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714375</xdr:colOff>
          <xdr:row>6</xdr:row>
          <xdr:rowOff>28575</xdr:rowOff>
        </xdr:to>
        <xdr:sp macro="" textlink="">
          <xdr:nvSpPr>
            <xdr:cNvPr id="113666" name="Check Box 2" hidden="1">
              <a:extLst>
                <a:ext uri="{63B3BB69-23CF-44E3-9099-C40C66FF867C}">
                  <a14:compatExt spid="_x0000_s113666"/>
                </a:ext>
                <a:ext uri="{FF2B5EF4-FFF2-40B4-BE49-F238E27FC236}">
                  <a16:creationId xmlns:a16="http://schemas.microsoft.com/office/drawing/2014/main" id="{00000000-0008-0000-1600-000002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5</xdr:row>
          <xdr:rowOff>171450</xdr:rowOff>
        </xdr:from>
        <xdr:to>
          <xdr:col>1</xdr:col>
          <xdr:colOff>809625</xdr:colOff>
          <xdr:row>7</xdr:row>
          <xdr:rowOff>19050</xdr:rowOff>
        </xdr:to>
        <xdr:sp macro="" textlink="">
          <xdr:nvSpPr>
            <xdr:cNvPr id="113667" name="Check Box 3" hidden="1">
              <a:extLst>
                <a:ext uri="{63B3BB69-23CF-44E3-9099-C40C66FF867C}">
                  <a14:compatExt spid="_x0000_s113667"/>
                </a:ext>
                <a:ext uri="{FF2B5EF4-FFF2-40B4-BE49-F238E27FC236}">
                  <a16:creationId xmlns:a16="http://schemas.microsoft.com/office/drawing/2014/main" id="{00000000-0008-0000-1600-000003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171450</xdr:rowOff>
        </xdr:from>
        <xdr:to>
          <xdr:col>2</xdr:col>
          <xdr:colOff>714375</xdr:colOff>
          <xdr:row>7</xdr:row>
          <xdr:rowOff>19050</xdr:rowOff>
        </xdr:to>
        <xdr:sp macro="" textlink="">
          <xdr:nvSpPr>
            <xdr:cNvPr id="113668" name="Check Box 4" hidden="1">
              <a:extLst>
                <a:ext uri="{63B3BB69-23CF-44E3-9099-C40C66FF867C}">
                  <a14:compatExt spid="_x0000_s113668"/>
                </a:ext>
                <a:ext uri="{FF2B5EF4-FFF2-40B4-BE49-F238E27FC236}">
                  <a16:creationId xmlns:a16="http://schemas.microsoft.com/office/drawing/2014/main" id="{00000000-0008-0000-1600-000004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7</xdr:row>
          <xdr:rowOff>171450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13669" name="Check Box 5" hidden="1">
              <a:extLst>
                <a:ext uri="{63B3BB69-23CF-44E3-9099-C40C66FF867C}">
                  <a14:compatExt spid="_x0000_s113669"/>
                </a:ext>
                <a:ext uri="{FF2B5EF4-FFF2-40B4-BE49-F238E27FC236}">
                  <a16:creationId xmlns:a16="http://schemas.microsoft.com/office/drawing/2014/main" id="{00000000-0008-0000-1600-000005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123825</xdr:colOff>
          <xdr:row>8</xdr:row>
          <xdr:rowOff>171450</xdr:rowOff>
        </xdr:from>
        <xdr:to>
          <xdr:col>1</xdr:col>
          <xdr:colOff>762000</xdr:colOff>
          <xdr:row>10</xdr:row>
          <xdr:rowOff>19050</xdr:rowOff>
        </xdr:to>
        <xdr:sp macro="" textlink="">
          <xdr:nvSpPr>
            <xdr:cNvPr id="113670" name="Check Box 6" hidden="1">
              <a:extLst>
                <a:ext uri="{63B3BB69-23CF-44E3-9099-C40C66FF867C}">
                  <a14:compatExt spid="_x0000_s113670"/>
                </a:ext>
                <a:ext uri="{FF2B5EF4-FFF2-40B4-BE49-F238E27FC236}">
                  <a16:creationId xmlns:a16="http://schemas.microsoft.com/office/drawing/2014/main" id="{00000000-0008-0000-1600-000006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180975</xdr:rowOff>
        </xdr:from>
        <xdr:to>
          <xdr:col>2</xdr:col>
          <xdr:colOff>733425</xdr:colOff>
          <xdr:row>9</xdr:row>
          <xdr:rowOff>38100</xdr:rowOff>
        </xdr:to>
        <xdr:sp macro="" textlink="">
          <xdr:nvSpPr>
            <xdr:cNvPr id="113671" name="Check Box 7" hidden="1">
              <a:extLst>
                <a:ext uri="{63B3BB69-23CF-44E3-9099-C40C66FF867C}">
                  <a14:compatExt spid="_x0000_s113671"/>
                </a:ext>
                <a:ext uri="{FF2B5EF4-FFF2-40B4-BE49-F238E27FC236}">
                  <a16:creationId xmlns:a16="http://schemas.microsoft.com/office/drawing/2014/main" id="{00000000-0008-0000-1600-000007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180975</xdr:rowOff>
        </xdr:from>
        <xdr:to>
          <xdr:col>2</xdr:col>
          <xdr:colOff>733425</xdr:colOff>
          <xdr:row>10</xdr:row>
          <xdr:rowOff>28575</xdr:rowOff>
        </xdr:to>
        <xdr:sp macro="" textlink="">
          <xdr:nvSpPr>
            <xdr:cNvPr id="113672" name="Check Box 8" hidden="1">
              <a:extLst>
                <a:ext uri="{63B3BB69-23CF-44E3-9099-C40C66FF867C}">
                  <a14:compatExt spid="_x0000_s113672"/>
                </a:ext>
                <a:ext uri="{FF2B5EF4-FFF2-40B4-BE49-F238E27FC236}">
                  <a16:creationId xmlns:a16="http://schemas.microsoft.com/office/drawing/2014/main" id="{00000000-0008-0000-1600-000008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13</xdr:row>
          <xdr:rowOff>180975</xdr:rowOff>
        </xdr:from>
        <xdr:to>
          <xdr:col>1</xdr:col>
          <xdr:colOff>723900</xdr:colOff>
          <xdr:row>14</xdr:row>
          <xdr:rowOff>219075</xdr:rowOff>
        </xdr:to>
        <xdr:sp macro="" textlink="">
          <xdr:nvSpPr>
            <xdr:cNvPr id="113673" name="Check Box 9" hidden="1">
              <a:extLst>
                <a:ext uri="{63B3BB69-23CF-44E3-9099-C40C66FF867C}">
                  <a14:compatExt spid="_x0000_s113673"/>
                </a:ext>
                <a:ext uri="{FF2B5EF4-FFF2-40B4-BE49-F238E27FC236}">
                  <a16:creationId xmlns:a16="http://schemas.microsoft.com/office/drawing/2014/main" id="{00000000-0008-0000-1600-000009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13</xdr:row>
          <xdr:rowOff>171450</xdr:rowOff>
        </xdr:from>
        <xdr:to>
          <xdr:col>2</xdr:col>
          <xdr:colOff>685800</xdr:colOff>
          <xdr:row>14</xdr:row>
          <xdr:rowOff>209550</xdr:rowOff>
        </xdr:to>
        <xdr:sp macro="" textlink="">
          <xdr:nvSpPr>
            <xdr:cNvPr id="113674" name="Check Box 10" hidden="1">
              <a:extLst>
                <a:ext uri="{63B3BB69-23CF-44E3-9099-C40C66FF867C}">
                  <a14:compatExt spid="_x0000_s113674"/>
                </a:ext>
                <a:ext uri="{FF2B5EF4-FFF2-40B4-BE49-F238E27FC236}">
                  <a16:creationId xmlns:a16="http://schemas.microsoft.com/office/drawing/2014/main" id="{00000000-0008-0000-1600-00000A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438150</xdr:colOff>
          <xdr:row>27</xdr:row>
          <xdr:rowOff>171450</xdr:rowOff>
        </xdr:from>
        <xdr:to>
          <xdr:col>0</xdr:col>
          <xdr:colOff>1076325</xdr:colOff>
          <xdr:row>29</xdr:row>
          <xdr:rowOff>19050</xdr:rowOff>
        </xdr:to>
        <xdr:sp macro="" textlink="">
          <xdr:nvSpPr>
            <xdr:cNvPr id="113675" name="Check Box 11" hidden="1">
              <a:extLst>
                <a:ext uri="{63B3BB69-23CF-44E3-9099-C40C66FF867C}">
                  <a14:compatExt spid="_x0000_s113675"/>
                </a:ext>
                <a:ext uri="{FF2B5EF4-FFF2-40B4-BE49-F238E27FC236}">
                  <a16:creationId xmlns:a16="http://schemas.microsoft.com/office/drawing/2014/main" id="{00000000-0008-0000-1600-00000B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180975</xdr:rowOff>
        </xdr:from>
        <xdr:to>
          <xdr:col>1</xdr:col>
          <xdr:colOff>771525</xdr:colOff>
          <xdr:row>29</xdr:row>
          <xdr:rowOff>28575</xdr:rowOff>
        </xdr:to>
        <xdr:sp macro="" textlink="">
          <xdr:nvSpPr>
            <xdr:cNvPr id="113676" name="Check Box 12" hidden="1">
              <a:extLst>
                <a:ext uri="{63B3BB69-23CF-44E3-9099-C40C66FF867C}">
                  <a14:compatExt spid="_x0000_s113676"/>
                </a:ext>
                <a:ext uri="{FF2B5EF4-FFF2-40B4-BE49-F238E27FC236}">
                  <a16:creationId xmlns:a16="http://schemas.microsoft.com/office/drawing/2014/main" id="{00000000-0008-0000-1600-00000C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27</xdr:row>
          <xdr:rowOff>171450</xdr:rowOff>
        </xdr:from>
        <xdr:to>
          <xdr:col>2</xdr:col>
          <xdr:colOff>704850</xdr:colOff>
          <xdr:row>29</xdr:row>
          <xdr:rowOff>19050</xdr:rowOff>
        </xdr:to>
        <xdr:sp macro="" textlink="">
          <xdr:nvSpPr>
            <xdr:cNvPr id="113677" name="Check Box 13" hidden="1">
              <a:extLst>
                <a:ext uri="{63B3BB69-23CF-44E3-9099-C40C66FF867C}">
                  <a14:compatExt spid="_x0000_s113677"/>
                </a:ext>
                <a:ext uri="{FF2B5EF4-FFF2-40B4-BE49-F238E27FC236}">
                  <a16:creationId xmlns:a16="http://schemas.microsoft.com/office/drawing/2014/main" id="{00000000-0008-0000-1600-00000D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0</xdr:col>
      <xdr:colOff>578303</xdr:colOff>
      <xdr:row>37</xdr:row>
      <xdr:rowOff>0</xdr:rowOff>
    </xdr:from>
    <xdr:to>
      <xdr:col>2</xdr:col>
      <xdr:colOff>197304</xdr:colOff>
      <xdr:row>38</xdr:row>
      <xdr:rowOff>20411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80FA5F7-A012-4D38-AB37-63BE76A47528}"/>
            </a:ext>
          </a:extLst>
        </xdr:cNvPr>
        <xdr:cNvSpPr txBox="1"/>
      </xdr:nvSpPr>
      <xdr:spPr>
        <a:xfrm>
          <a:off x="578303" y="7124700"/>
          <a:ext cx="2457451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50" baseline="0"/>
            <a:t>	</a:t>
          </a:r>
        </a:p>
      </xdr:txBody>
    </xdr:sp>
    <xdr:clientData/>
  </xdr:twoCellAnchor>
  <xdr:twoCellAnchor>
    <xdr:from>
      <xdr:col>0</xdr:col>
      <xdr:colOff>387803</xdr:colOff>
      <xdr:row>37</xdr:row>
      <xdr:rowOff>176893</xdr:rowOff>
    </xdr:from>
    <xdr:to>
      <xdr:col>2</xdr:col>
      <xdr:colOff>20411</xdr:colOff>
      <xdr:row>39</xdr:row>
      <xdr:rowOff>6804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953D10-589D-4703-AC19-12D373726279}"/>
            </a:ext>
          </a:extLst>
        </xdr:cNvPr>
        <xdr:cNvSpPr txBox="1"/>
      </xdr:nvSpPr>
      <xdr:spPr>
        <a:xfrm>
          <a:off x="387803" y="7301593"/>
          <a:ext cx="2471058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endParaRPr lang="en-US" sz="1050">
            <a:effectLst/>
          </a:endParaRPr>
        </a:p>
      </xdr:txBody>
    </xdr:sp>
    <xdr:clientData/>
  </xdr:twoCellAnchor>
  <xdr:twoCellAnchor>
    <xdr:from>
      <xdr:col>0</xdr:col>
      <xdr:colOff>597355</xdr:colOff>
      <xdr:row>37</xdr:row>
      <xdr:rowOff>141516</xdr:rowOff>
    </xdr:from>
    <xdr:to>
      <xdr:col>2</xdr:col>
      <xdr:colOff>32659</xdr:colOff>
      <xdr:row>38</xdr:row>
      <xdr:rowOff>183698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39D5629-DCB0-4FF5-9A3F-066AF60F4C5F}"/>
            </a:ext>
          </a:extLst>
        </xdr:cNvPr>
        <xdr:cNvSpPr txBox="1"/>
      </xdr:nvSpPr>
      <xdr:spPr>
        <a:xfrm>
          <a:off x="597355" y="7266216"/>
          <a:ext cx="2273754" cy="232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579665</xdr:colOff>
      <xdr:row>40</xdr:row>
      <xdr:rowOff>157843</xdr:rowOff>
    </xdr:from>
    <xdr:to>
      <xdr:col>2</xdr:col>
      <xdr:colOff>14969</xdr:colOff>
      <xdr:row>41</xdr:row>
      <xdr:rowOff>178254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5B30AC-F213-43E9-ADB3-45FFD53F5248}"/>
            </a:ext>
          </a:extLst>
        </xdr:cNvPr>
        <xdr:cNvSpPr txBox="1"/>
      </xdr:nvSpPr>
      <xdr:spPr>
        <a:xfrm>
          <a:off x="579665" y="7854043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575583</xdr:colOff>
      <xdr:row>41</xdr:row>
      <xdr:rowOff>160565</xdr:rowOff>
    </xdr:from>
    <xdr:to>
      <xdr:col>2</xdr:col>
      <xdr:colOff>10887</xdr:colOff>
      <xdr:row>42</xdr:row>
      <xdr:rowOff>180976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01E79FC-4A6D-4AC4-845A-2CC0DC479629}"/>
            </a:ext>
          </a:extLst>
        </xdr:cNvPr>
        <xdr:cNvSpPr txBox="1"/>
      </xdr:nvSpPr>
      <xdr:spPr>
        <a:xfrm>
          <a:off x="575583" y="8047265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551091</xdr:colOff>
      <xdr:row>43</xdr:row>
      <xdr:rowOff>0</xdr:rowOff>
    </xdr:from>
    <xdr:to>
      <xdr:col>1</xdr:col>
      <xdr:colOff>986520</xdr:colOff>
      <xdr:row>44</xdr:row>
      <xdr:rowOff>20411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CBCB31D-8E8D-4D2C-A644-F13C23EDA772}"/>
            </a:ext>
          </a:extLst>
        </xdr:cNvPr>
        <xdr:cNvSpPr txBox="1"/>
      </xdr:nvSpPr>
      <xdr:spPr>
        <a:xfrm>
          <a:off x="551091" y="8267700"/>
          <a:ext cx="2273754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aseline="0"/>
        </a:p>
      </xdr:txBody>
    </xdr:sp>
    <xdr:clientData/>
  </xdr:twoCellAnchor>
  <xdr:twoCellAnchor>
    <xdr:from>
      <xdr:col>0</xdr:col>
      <xdr:colOff>571501</xdr:colOff>
      <xdr:row>38</xdr:row>
      <xdr:rowOff>123825</xdr:rowOff>
    </xdr:from>
    <xdr:to>
      <xdr:col>2</xdr:col>
      <xdr:colOff>123828</xdr:colOff>
      <xdr:row>39</xdr:row>
      <xdr:rowOff>144236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D2BACE8-B47A-4C89-9404-64A331AF726E}"/>
            </a:ext>
          </a:extLst>
        </xdr:cNvPr>
        <xdr:cNvSpPr txBox="1"/>
      </xdr:nvSpPr>
      <xdr:spPr>
        <a:xfrm>
          <a:off x="571501" y="7439025"/>
          <a:ext cx="2390777" cy="210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50" b="0" baseline="0"/>
        </a:p>
      </xdr:txBody>
    </xdr:sp>
    <xdr:clientData/>
  </xdr:twoCellAnchor>
  <xdr:twoCellAnchor>
    <xdr:from>
      <xdr:col>0</xdr:col>
      <xdr:colOff>593273</xdr:colOff>
      <xdr:row>38</xdr:row>
      <xdr:rowOff>117022</xdr:rowOff>
    </xdr:from>
    <xdr:to>
      <xdr:col>2</xdr:col>
      <xdr:colOff>28577</xdr:colOff>
      <xdr:row>41</xdr:row>
      <xdr:rowOff>16329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8CEB818-A53E-461C-9EF8-E90782015AF6}"/>
            </a:ext>
          </a:extLst>
        </xdr:cNvPr>
        <xdr:cNvSpPr txBox="1"/>
      </xdr:nvSpPr>
      <xdr:spPr>
        <a:xfrm>
          <a:off x="593273" y="7432222"/>
          <a:ext cx="2273754" cy="47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baseline="0"/>
            <a:t>	</a:t>
          </a:r>
        </a:p>
      </xdr:txBody>
    </xdr:sp>
    <xdr:clientData/>
  </xdr:twoCellAnchor>
  <xdr:twoCellAnchor>
    <xdr:from>
      <xdr:col>0</xdr:col>
      <xdr:colOff>572862</xdr:colOff>
      <xdr:row>38</xdr:row>
      <xdr:rowOff>130629</xdr:rowOff>
    </xdr:from>
    <xdr:to>
      <xdr:col>2</xdr:col>
      <xdr:colOff>8166</xdr:colOff>
      <xdr:row>39</xdr:row>
      <xdr:rowOff>170090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631D5F7-9BA7-4E30-9EBB-0DC5B51F8892}"/>
            </a:ext>
          </a:extLst>
        </xdr:cNvPr>
        <xdr:cNvSpPr txBox="1"/>
      </xdr:nvSpPr>
      <xdr:spPr>
        <a:xfrm>
          <a:off x="572862" y="7445829"/>
          <a:ext cx="2273754" cy="229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568780</xdr:colOff>
      <xdr:row>39</xdr:row>
      <xdr:rowOff>133351</xdr:rowOff>
    </xdr:from>
    <xdr:to>
      <xdr:col>2</xdr:col>
      <xdr:colOff>4084</xdr:colOff>
      <xdr:row>40</xdr:row>
      <xdr:rowOff>156482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D63FA25-7835-4C76-AD00-34C736EC20D4}"/>
            </a:ext>
          </a:extLst>
        </xdr:cNvPr>
        <xdr:cNvSpPr txBox="1"/>
      </xdr:nvSpPr>
      <xdr:spPr>
        <a:xfrm>
          <a:off x="568780" y="7639051"/>
          <a:ext cx="2273754" cy="213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  <xdr:twoCellAnchor>
    <xdr:from>
      <xdr:col>0</xdr:col>
      <xdr:colOff>568780</xdr:colOff>
      <xdr:row>40</xdr:row>
      <xdr:rowOff>153762</xdr:rowOff>
    </xdr:from>
    <xdr:to>
      <xdr:col>2</xdr:col>
      <xdr:colOff>4084</xdr:colOff>
      <xdr:row>42</xdr:row>
      <xdr:rowOff>2723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C6CC563-2E42-4AF6-871A-49DEFA038764}"/>
            </a:ext>
          </a:extLst>
        </xdr:cNvPr>
        <xdr:cNvSpPr txBox="1"/>
      </xdr:nvSpPr>
      <xdr:spPr>
        <a:xfrm>
          <a:off x="568780" y="7849962"/>
          <a:ext cx="2273754" cy="229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b="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39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10" Type="http://schemas.openxmlformats.org/officeDocument/2006/relationships/ctrlProp" Target="../ctrlProps/ctrlProp33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4.xml"/><Relationship Id="rId13" Type="http://schemas.openxmlformats.org/officeDocument/2006/relationships/ctrlProp" Target="../ctrlProps/ctrlProp49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43.xml"/><Relationship Id="rId12" Type="http://schemas.openxmlformats.org/officeDocument/2006/relationships/ctrlProp" Target="../ctrlProps/ctrlProp4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5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42.xml"/><Relationship Id="rId11" Type="http://schemas.openxmlformats.org/officeDocument/2006/relationships/ctrlProp" Target="../ctrlProps/ctrlProp47.xml"/><Relationship Id="rId5" Type="http://schemas.openxmlformats.org/officeDocument/2006/relationships/ctrlProp" Target="../ctrlProps/ctrlProp41.xml"/><Relationship Id="rId15" Type="http://schemas.openxmlformats.org/officeDocument/2006/relationships/ctrlProp" Target="../ctrlProps/ctrlProp51.xml"/><Relationship Id="rId10" Type="http://schemas.openxmlformats.org/officeDocument/2006/relationships/ctrlProp" Target="../ctrlProps/ctrlProp46.xml"/><Relationship Id="rId4" Type="http://schemas.openxmlformats.org/officeDocument/2006/relationships/ctrlProp" Target="../ctrlProps/ctrlProp40.xml"/><Relationship Id="rId9" Type="http://schemas.openxmlformats.org/officeDocument/2006/relationships/ctrlProp" Target="../ctrlProps/ctrlProp45.xml"/><Relationship Id="rId14" Type="http://schemas.openxmlformats.org/officeDocument/2006/relationships/ctrlProp" Target="../ctrlProps/ctrlProp5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7.xml"/><Relationship Id="rId13" Type="http://schemas.openxmlformats.org/officeDocument/2006/relationships/ctrlProp" Target="../ctrlProps/ctrlProp62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56.xml"/><Relationship Id="rId12" Type="http://schemas.openxmlformats.org/officeDocument/2006/relationships/ctrlProp" Target="../ctrlProps/ctrlProp61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6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55.xml"/><Relationship Id="rId11" Type="http://schemas.openxmlformats.org/officeDocument/2006/relationships/ctrlProp" Target="../ctrlProps/ctrlProp60.xml"/><Relationship Id="rId5" Type="http://schemas.openxmlformats.org/officeDocument/2006/relationships/ctrlProp" Target="../ctrlProps/ctrlProp54.xml"/><Relationship Id="rId15" Type="http://schemas.openxmlformats.org/officeDocument/2006/relationships/ctrlProp" Target="../ctrlProps/ctrlProp64.xml"/><Relationship Id="rId10" Type="http://schemas.openxmlformats.org/officeDocument/2006/relationships/ctrlProp" Target="../ctrlProps/ctrlProp59.xml"/><Relationship Id="rId4" Type="http://schemas.openxmlformats.org/officeDocument/2006/relationships/ctrlProp" Target="../ctrlProps/ctrlProp53.xml"/><Relationship Id="rId9" Type="http://schemas.openxmlformats.org/officeDocument/2006/relationships/ctrlProp" Target="../ctrlProps/ctrlProp58.xml"/><Relationship Id="rId14" Type="http://schemas.openxmlformats.org/officeDocument/2006/relationships/ctrlProp" Target="../ctrlProps/ctrlProp6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0.xml"/><Relationship Id="rId13" Type="http://schemas.openxmlformats.org/officeDocument/2006/relationships/ctrlProp" Target="../ctrlProps/ctrlProp75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69.xml"/><Relationship Id="rId12" Type="http://schemas.openxmlformats.org/officeDocument/2006/relationships/ctrlProp" Target="../ctrlProps/ctrlProp74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78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68.xml"/><Relationship Id="rId11" Type="http://schemas.openxmlformats.org/officeDocument/2006/relationships/ctrlProp" Target="../ctrlProps/ctrlProp73.xml"/><Relationship Id="rId5" Type="http://schemas.openxmlformats.org/officeDocument/2006/relationships/ctrlProp" Target="../ctrlProps/ctrlProp67.xml"/><Relationship Id="rId15" Type="http://schemas.openxmlformats.org/officeDocument/2006/relationships/ctrlProp" Target="../ctrlProps/ctrlProp77.xml"/><Relationship Id="rId10" Type="http://schemas.openxmlformats.org/officeDocument/2006/relationships/ctrlProp" Target="../ctrlProps/ctrlProp72.xml"/><Relationship Id="rId4" Type="http://schemas.openxmlformats.org/officeDocument/2006/relationships/ctrlProp" Target="../ctrlProps/ctrlProp66.xml"/><Relationship Id="rId9" Type="http://schemas.openxmlformats.org/officeDocument/2006/relationships/ctrlProp" Target="../ctrlProps/ctrlProp71.xml"/><Relationship Id="rId14" Type="http://schemas.openxmlformats.org/officeDocument/2006/relationships/ctrlProp" Target="../ctrlProps/ctrlProp7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3.xml"/><Relationship Id="rId13" Type="http://schemas.openxmlformats.org/officeDocument/2006/relationships/ctrlProp" Target="../ctrlProps/ctrlProp88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82.xml"/><Relationship Id="rId12" Type="http://schemas.openxmlformats.org/officeDocument/2006/relationships/ctrlProp" Target="../ctrlProps/ctrlProp87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91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81.xml"/><Relationship Id="rId11" Type="http://schemas.openxmlformats.org/officeDocument/2006/relationships/ctrlProp" Target="../ctrlProps/ctrlProp86.xml"/><Relationship Id="rId5" Type="http://schemas.openxmlformats.org/officeDocument/2006/relationships/ctrlProp" Target="../ctrlProps/ctrlProp80.xml"/><Relationship Id="rId15" Type="http://schemas.openxmlformats.org/officeDocument/2006/relationships/ctrlProp" Target="../ctrlProps/ctrlProp90.xml"/><Relationship Id="rId10" Type="http://schemas.openxmlformats.org/officeDocument/2006/relationships/ctrlProp" Target="../ctrlProps/ctrlProp85.xml"/><Relationship Id="rId4" Type="http://schemas.openxmlformats.org/officeDocument/2006/relationships/ctrlProp" Target="../ctrlProps/ctrlProp79.xml"/><Relationship Id="rId9" Type="http://schemas.openxmlformats.org/officeDocument/2006/relationships/ctrlProp" Target="../ctrlProps/ctrlProp84.xml"/><Relationship Id="rId14" Type="http://schemas.openxmlformats.org/officeDocument/2006/relationships/ctrlProp" Target="../ctrlProps/ctrlProp89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6.xml"/><Relationship Id="rId13" Type="http://schemas.openxmlformats.org/officeDocument/2006/relationships/ctrlProp" Target="../ctrlProps/ctrlProp10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95.xml"/><Relationship Id="rId12" Type="http://schemas.openxmlformats.org/officeDocument/2006/relationships/ctrlProp" Target="../ctrlProps/ctrlProp100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104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94.xml"/><Relationship Id="rId11" Type="http://schemas.openxmlformats.org/officeDocument/2006/relationships/ctrlProp" Target="../ctrlProps/ctrlProp99.xml"/><Relationship Id="rId5" Type="http://schemas.openxmlformats.org/officeDocument/2006/relationships/ctrlProp" Target="../ctrlProps/ctrlProp93.xml"/><Relationship Id="rId15" Type="http://schemas.openxmlformats.org/officeDocument/2006/relationships/ctrlProp" Target="../ctrlProps/ctrlProp103.xml"/><Relationship Id="rId10" Type="http://schemas.openxmlformats.org/officeDocument/2006/relationships/ctrlProp" Target="../ctrlProps/ctrlProp98.xml"/><Relationship Id="rId4" Type="http://schemas.openxmlformats.org/officeDocument/2006/relationships/ctrlProp" Target="../ctrlProps/ctrlProp92.xml"/><Relationship Id="rId9" Type="http://schemas.openxmlformats.org/officeDocument/2006/relationships/ctrlProp" Target="../ctrlProps/ctrlProp97.xml"/><Relationship Id="rId14" Type="http://schemas.openxmlformats.org/officeDocument/2006/relationships/ctrlProp" Target="../ctrlProps/ctrlProp10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9.xml"/><Relationship Id="rId13" Type="http://schemas.openxmlformats.org/officeDocument/2006/relationships/ctrlProp" Target="../ctrlProps/ctrlProp114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108.xml"/><Relationship Id="rId12" Type="http://schemas.openxmlformats.org/officeDocument/2006/relationships/ctrlProp" Target="../ctrlProps/ctrlProp113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117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07.xml"/><Relationship Id="rId11" Type="http://schemas.openxmlformats.org/officeDocument/2006/relationships/ctrlProp" Target="../ctrlProps/ctrlProp112.xml"/><Relationship Id="rId5" Type="http://schemas.openxmlformats.org/officeDocument/2006/relationships/ctrlProp" Target="../ctrlProps/ctrlProp106.xml"/><Relationship Id="rId15" Type="http://schemas.openxmlformats.org/officeDocument/2006/relationships/ctrlProp" Target="../ctrlProps/ctrlProp116.xml"/><Relationship Id="rId10" Type="http://schemas.openxmlformats.org/officeDocument/2006/relationships/ctrlProp" Target="../ctrlProps/ctrlProp111.xml"/><Relationship Id="rId4" Type="http://schemas.openxmlformats.org/officeDocument/2006/relationships/ctrlProp" Target="../ctrlProps/ctrlProp105.xml"/><Relationship Id="rId9" Type="http://schemas.openxmlformats.org/officeDocument/2006/relationships/ctrlProp" Target="../ctrlProps/ctrlProp110.xml"/><Relationship Id="rId14" Type="http://schemas.openxmlformats.org/officeDocument/2006/relationships/ctrlProp" Target="../ctrlProps/ctrlProp11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2.xml"/><Relationship Id="rId13" Type="http://schemas.openxmlformats.org/officeDocument/2006/relationships/ctrlProp" Target="../ctrlProps/ctrlProp127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121.xml"/><Relationship Id="rId12" Type="http://schemas.openxmlformats.org/officeDocument/2006/relationships/ctrlProp" Target="../ctrlProps/ctrlProp126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13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20.xml"/><Relationship Id="rId11" Type="http://schemas.openxmlformats.org/officeDocument/2006/relationships/ctrlProp" Target="../ctrlProps/ctrlProp125.xml"/><Relationship Id="rId5" Type="http://schemas.openxmlformats.org/officeDocument/2006/relationships/ctrlProp" Target="../ctrlProps/ctrlProp119.xml"/><Relationship Id="rId15" Type="http://schemas.openxmlformats.org/officeDocument/2006/relationships/ctrlProp" Target="../ctrlProps/ctrlProp129.xml"/><Relationship Id="rId10" Type="http://schemas.openxmlformats.org/officeDocument/2006/relationships/ctrlProp" Target="../ctrlProps/ctrlProp124.xml"/><Relationship Id="rId4" Type="http://schemas.openxmlformats.org/officeDocument/2006/relationships/ctrlProp" Target="../ctrlProps/ctrlProp118.xml"/><Relationship Id="rId9" Type="http://schemas.openxmlformats.org/officeDocument/2006/relationships/ctrlProp" Target="../ctrlProps/ctrlProp123.xml"/><Relationship Id="rId14" Type="http://schemas.openxmlformats.org/officeDocument/2006/relationships/ctrlProp" Target="../ctrlProps/ctrlProp128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5.xml"/><Relationship Id="rId13" Type="http://schemas.openxmlformats.org/officeDocument/2006/relationships/ctrlProp" Target="../ctrlProps/ctrlProp140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134.xml"/><Relationship Id="rId12" Type="http://schemas.openxmlformats.org/officeDocument/2006/relationships/ctrlProp" Target="../ctrlProps/ctrlProp139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143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133.xml"/><Relationship Id="rId11" Type="http://schemas.openxmlformats.org/officeDocument/2006/relationships/ctrlProp" Target="../ctrlProps/ctrlProp138.xml"/><Relationship Id="rId5" Type="http://schemas.openxmlformats.org/officeDocument/2006/relationships/ctrlProp" Target="../ctrlProps/ctrlProp132.xml"/><Relationship Id="rId15" Type="http://schemas.openxmlformats.org/officeDocument/2006/relationships/ctrlProp" Target="../ctrlProps/ctrlProp142.xml"/><Relationship Id="rId10" Type="http://schemas.openxmlformats.org/officeDocument/2006/relationships/ctrlProp" Target="../ctrlProps/ctrlProp137.xml"/><Relationship Id="rId4" Type="http://schemas.openxmlformats.org/officeDocument/2006/relationships/ctrlProp" Target="../ctrlProps/ctrlProp131.xml"/><Relationship Id="rId9" Type="http://schemas.openxmlformats.org/officeDocument/2006/relationships/ctrlProp" Target="../ctrlProps/ctrlProp136.xml"/><Relationship Id="rId14" Type="http://schemas.openxmlformats.org/officeDocument/2006/relationships/ctrlProp" Target="../ctrlProps/ctrlProp14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8.xml"/><Relationship Id="rId13" Type="http://schemas.openxmlformats.org/officeDocument/2006/relationships/ctrlProp" Target="../ctrlProps/ctrlProp153.xml"/><Relationship Id="rId3" Type="http://schemas.openxmlformats.org/officeDocument/2006/relationships/vmlDrawing" Target="../drawings/vmlDrawing12.vml"/><Relationship Id="rId7" Type="http://schemas.openxmlformats.org/officeDocument/2006/relationships/ctrlProp" Target="../ctrlProps/ctrlProp147.xml"/><Relationship Id="rId12" Type="http://schemas.openxmlformats.org/officeDocument/2006/relationships/ctrlProp" Target="../ctrlProps/ctrlProp152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156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146.xml"/><Relationship Id="rId11" Type="http://schemas.openxmlformats.org/officeDocument/2006/relationships/ctrlProp" Target="../ctrlProps/ctrlProp151.xml"/><Relationship Id="rId5" Type="http://schemas.openxmlformats.org/officeDocument/2006/relationships/ctrlProp" Target="../ctrlProps/ctrlProp145.xml"/><Relationship Id="rId15" Type="http://schemas.openxmlformats.org/officeDocument/2006/relationships/ctrlProp" Target="../ctrlProps/ctrlProp155.xml"/><Relationship Id="rId10" Type="http://schemas.openxmlformats.org/officeDocument/2006/relationships/ctrlProp" Target="../ctrlProps/ctrlProp150.xml"/><Relationship Id="rId4" Type="http://schemas.openxmlformats.org/officeDocument/2006/relationships/ctrlProp" Target="../ctrlProps/ctrlProp144.xml"/><Relationship Id="rId9" Type="http://schemas.openxmlformats.org/officeDocument/2006/relationships/ctrlProp" Target="../ctrlProps/ctrlProp149.xml"/><Relationship Id="rId14" Type="http://schemas.openxmlformats.org/officeDocument/2006/relationships/ctrlProp" Target="../ctrlProps/ctrlProp154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1.xml"/><Relationship Id="rId13" Type="http://schemas.openxmlformats.org/officeDocument/2006/relationships/ctrlProp" Target="../ctrlProps/ctrlProp166.xml"/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160.xml"/><Relationship Id="rId12" Type="http://schemas.openxmlformats.org/officeDocument/2006/relationships/ctrlProp" Target="../ctrlProps/ctrlProp165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169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159.xml"/><Relationship Id="rId11" Type="http://schemas.openxmlformats.org/officeDocument/2006/relationships/ctrlProp" Target="../ctrlProps/ctrlProp164.xml"/><Relationship Id="rId5" Type="http://schemas.openxmlformats.org/officeDocument/2006/relationships/ctrlProp" Target="../ctrlProps/ctrlProp158.xml"/><Relationship Id="rId15" Type="http://schemas.openxmlformats.org/officeDocument/2006/relationships/ctrlProp" Target="../ctrlProps/ctrlProp168.xml"/><Relationship Id="rId10" Type="http://schemas.openxmlformats.org/officeDocument/2006/relationships/ctrlProp" Target="../ctrlProps/ctrlProp163.xml"/><Relationship Id="rId4" Type="http://schemas.openxmlformats.org/officeDocument/2006/relationships/ctrlProp" Target="../ctrlProps/ctrlProp157.xml"/><Relationship Id="rId9" Type="http://schemas.openxmlformats.org/officeDocument/2006/relationships/ctrlProp" Target="../ctrlProps/ctrlProp162.xml"/><Relationship Id="rId14" Type="http://schemas.openxmlformats.org/officeDocument/2006/relationships/ctrlProp" Target="../ctrlProps/ctrlProp167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4.xml"/><Relationship Id="rId13" Type="http://schemas.openxmlformats.org/officeDocument/2006/relationships/ctrlProp" Target="../ctrlProps/ctrlProp179.xml"/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173.xml"/><Relationship Id="rId12" Type="http://schemas.openxmlformats.org/officeDocument/2006/relationships/ctrlProp" Target="../ctrlProps/ctrlProp178.xml"/><Relationship Id="rId2" Type="http://schemas.openxmlformats.org/officeDocument/2006/relationships/drawing" Target="../drawings/drawing14.xml"/><Relationship Id="rId16" Type="http://schemas.openxmlformats.org/officeDocument/2006/relationships/ctrlProp" Target="../ctrlProps/ctrlProp182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172.xml"/><Relationship Id="rId11" Type="http://schemas.openxmlformats.org/officeDocument/2006/relationships/ctrlProp" Target="../ctrlProps/ctrlProp177.xml"/><Relationship Id="rId5" Type="http://schemas.openxmlformats.org/officeDocument/2006/relationships/ctrlProp" Target="../ctrlProps/ctrlProp171.xml"/><Relationship Id="rId15" Type="http://schemas.openxmlformats.org/officeDocument/2006/relationships/ctrlProp" Target="../ctrlProps/ctrlProp181.xml"/><Relationship Id="rId10" Type="http://schemas.openxmlformats.org/officeDocument/2006/relationships/ctrlProp" Target="../ctrlProps/ctrlProp176.xml"/><Relationship Id="rId4" Type="http://schemas.openxmlformats.org/officeDocument/2006/relationships/ctrlProp" Target="../ctrlProps/ctrlProp170.xml"/><Relationship Id="rId9" Type="http://schemas.openxmlformats.org/officeDocument/2006/relationships/ctrlProp" Target="../ctrlProps/ctrlProp175.xml"/><Relationship Id="rId14" Type="http://schemas.openxmlformats.org/officeDocument/2006/relationships/ctrlProp" Target="../ctrlProps/ctrlProp180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7.xml"/><Relationship Id="rId13" Type="http://schemas.openxmlformats.org/officeDocument/2006/relationships/ctrlProp" Target="../ctrlProps/ctrlProp192.xml"/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186.xml"/><Relationship Id="rId12" Type="http://schemas.openxmlformats.org/officeDocument/2006/relationships/ctrlProp" Target="../ctrlProps/ctrlProp191.xml"/><Relationship Id="rId2" Type="http://schemas.openxmlformats.org/officeDocument/2006/relationships/drawing" Target="../drawings/drawing15.xml"/><Relationship Id="rId16" Type="http://schemas.openxmlformats.org/officeDocument/2006/relationships/ctrlProp" Target="../ctrlProps/ctrlProp195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185.xml"/><Relationship Id="rId11" Type="http://schemas.openxmlformats.org/officeDocument/2006/relationships/ctrlProp" Target="../ctrlProps/ctrlProp190.xml"/><Relationship Id="rId5" Type="http://schemas.openxmlformats.org/officeDocument/2006/relationships/ctrlProp" Target="../ctrlProps/ctrlProp184.xml"/><Relationship Id="rId15" Type="http://schemas.openxmlformats.org/officeDocument/2006/relationships/ctrlProp" Target="../ctrlProps/ctrlProp194.xml"/><Relationship Id="rId10" Type="http://schemas.openxmlformats.org/officeDocument/2006/relationships/ctrlProp" Target="../ctrlProps/ctrlProp189.xml"/><Relationship Id="rId4" Type="http://schemas.openxmlformats.org/officeDocument/2006/relationships/ctrlProp" Target="../ctrlProps/ctrlProp183.xml"/><Relationship Id="rId9" Type="http://schemas.openxmlformats.org/officeDocument/2006/relationships/ctrlProp" Target="../ctrlProps/ctrlProp188.xml"/><Relationship Id="rId14" Type="http://schemas.openxmlformats.org/officeDocument/2006/relationships/ctrlProp" Target="../ctrlProps/ctrlProp193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0.xml"/><Relationship Id="rId13" Type="http://schemas.openxmlformats.org/officeDocument/2006/relationships/ctrlProp" Target="../ctrlProps/ctrlProp205.xml"/><Relationship Id="rId3" Type="http://schemas.openxmlformats.org/officeDocument/2006/relationships/vmlDrawing" Target="../drawings/vmlDrawing16.vml"/><Relationship Id="rId7" Type="http://schemas.openxmlformats.org/officeDocument/2006/relationships/ctrlProp" Target="../ctrlProps/ctrlProp199.xml"/><Relationship Id="rId12" Type="http://schemas.openxmlformats.org/officeDocument/2006/relationships/ctrlProp" Target="../ctrlProps/ctrlProp204.xml"/><Relationship Id="rId2" Type="http://schemas.openxmlformats.org/officeDocument/2006/relationships/drawing" Target="../drawings/drawing16.xml"/><Relationship Id="rId16" Type="http://schemas.openxmlformats.org/officeDocument/2006/relationships/ctrlProp" Target="../ctrlProps/ctrlProp208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198.xml"/><Relationship Id="rId11" Type="http://schemas.openxmlformats.org/officeDocument/2006/relationships/ctrlProp" Target="../ctrlProps/ctrlProp203.xml"/><Relationship Id="rId5" Type="http://schemas.openxmlformats.org/officeDocument/2006/relationships/ctrlProp" Target="../ctrlProps/ctrlProp197.xml"/><Relationship Id="rId15" Type="http://schemas.openxmlformats.org/officeDocument/2006/relationships/ctrlProp" Target="../ctrlProps/ctrlProp207.xml"/><Relationship Id="rId10" Type="http://schemas.openxmlformats.org/officeDocument/2006/relationships/ctrlProp" Target="../ctrlProps/ctrlProp202.xml"/><Relationship Id="rId4" Type="http://schemas.openxmlformats.org/officeDocument/2006/relationships/ctrlProp" Target="../ctrlProps/ctrlProp196.xml"/><Relationship Id="rId9" Type="http://schemas.openxmlformats.org/officeDocument/2006/relationships/ctrlProp" Target="../ctrlProps/ctrlProp201.xml"/><Relationship Id="rId14" Type="http://schemas.openxmlformats.org/officeDocument/2006/relationships/ctrlProp" Target="../ctrlProps/ctrlProp20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13.xml"/><Relationship Id="rId13" Type="http://schemas.openxmlformats.org/officeDocument/2006/relationships/ctrlProp" Target="../ctrlProps/ctrlProp218.xml"/><Relationship Id="rId3" Type="http://schemas.openxmlformats.org/officeDocument/2006/relationships/vmlDrawing" Target="../drawings/vmlDrawing17.vml"/><Relationship Id="rId7" Type="http://schemas.openxmlformats.org/officeDocument/2006/relationships/ctrlProp" Target="../ctrlProps/ctrlProp212.xml"/><Relationship Id="rId12" Type="http://schemas.openxmlformats.org/officeDocument/2006/relationships/ctrlProp" Target="../ctrlProps/ctrlProp217.xml"/><Relationship Id="rId2" Type="http://schemas.openxmlformats.org/officeDocument/2006/relationships/drawing" Target="../drawings/drawing17.xml"/><Relationship Id="rId16" Type="http://schemas.openxmlformats.org/officeDocument/2006/relationships/ctrlProp" Target="../ctrlProps/ctrlProp221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211.xml"/><Relationship Id="rId11" Type="http://schemas.openxmlformats.org/officeDocument/2006/relationships/ctrlProp" Target="../ctrlProps/ctrlProp216.xml"/><Relationship Id="rId5" Type="http://schemas.openxmlformats.org/officeDocument/2006/relationships/ctrlProp" Target="../ctrlProps/ctrlProp210.xml"/><Relationship Id="rId15" Type="http://schemas.openxmlformats.org/officeDocument/2006/relationships/ctrlProp" Target="../ctrlProps/ctrlProp220.xml"/><Relationship Id="rId10" Type="http://schemas.openxmlformats.org/officeDocument/2006/relationships/ctrlProp" Target="../ctrlProps/ctrlProp215.xml"/><Relationship Id="rId4" Type="http://schemas.openxmlformats.org/officeDocument/2006/relationships/ctrlProp" Target="../ctrlProps/ctrlProp209.xml"/><Relationship Id="rId9" Type="http://schemas.openxmlformats.org/officeDocument/2006/relationships/ctrlProp" Target="../ctrlProps/ctrlProp214.xml"/><Relationship Id="rId14" Type="http://schemas.openxmlformats.org/officeDocument/2006/relationships/ctrlProp" Target="../ctrlProps/ctrlProp219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6.xml"/><Relationship Id="rId13" Type="http://schemas.openxmlformats.org/officeDocument/2006/relationships/ctrlProp" Target="../ctrlProps/ctrlProp231.xml"/><Relationship Id="rId3" Type="http://schemas.openxmlformats.org/officeDocument/2006/relationships/vmlDrawing" Target="../drawings/vmlDrawing18.vml"/><Relationship Id="rId7" Type="http://schemas.openxmlformats.org/officeDocument/2006/relationships/ctrlProp" Target="../ctrlProps/ctrlProp225.xml"/><Relationship Id="rId12" Type="http://schemas.openxmlformats.org/officeDocument/2006/relationships/ctrlProp" Target="../ctrlProps/ctrlProp230.xml"/><Relationship Id="rId2" Type="http://schemas.openxmlformats.org/officeDocument/2006/relationships/drawing" Target="../drawings/drawing18.xml"/><Relationship Id="rId16" Type="http://schemas.openxmlformats.org/officeDocument/2006/relationships/ctrlProp" Target="../ctrlProps/ctrlProp234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224.xml"/><Relationship Id="rId11" Type="http://schemas.openxmlformats.org/officeDocument/2006/relationships/ctrlProp" Target="../ctrlProps/ctrlProp229.xml"/><Relationship Id="rId5" Type="http://schemas.openxmlformats.org/officeDocument/2006/relationships/ctrlProp" Target="../ctrlProps/ctrlProp223.xml"/><Relationship Id="rId15" Type="http://schemas.openxmlformats.org/officeDocument/2006/relationships/ctrlProp" Target="../ctrlProps/ctrlProp233.xml"/><Relationship Id="rId10" Type="http://schemas.openxmlformats.org/officeDocument/2006/relationships/ctrlProp" Target="../ctrlProps/ctrlProp228.xml"/><Relationship Id="rId4" Type="http://schemas.openxmlformats.org/officeDocument/2006/relationships/ctrlProp" Target="../ctrlProps/ctrlProp222.xml"/><Relationship Id="rId9" Type="http://schemas.openxmlformats.org/officeDocument/2006/relationships/ctrlProp" Target="../ctrlProps/ctrlProp227.xml"/><Relationship Id="rId14" Type="http://schemas.openxmlformats.org/officeDocument/2006/relationships/ctrlProp" Target="../ctrlProps/ctrlProp232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9.xml"/><Relationship Id="rId13" Type="http://schemas.openxmlformats.org/officeDocument/2006/relationships/ctrlProp" Target="../ctrlProps/ctrlProp244.xml"/><Relationship Id="rId3" Type="http://schemas.openxmlformats.org/officeDocument/2006/relationships/vmlDrawing" Target="../drawings/vmlDrawing19.vml"/><Relationship Id="rId7" Type="http://schemas.openxmlformats.org/officeDocument/2006/relationships/ctrlProp" Target="../ctrlProps/ctrlProp238.xml"/><Relationship Id="rId12" Type="http://schemas.openxmlformats.org/officeDocument/2006/relationships/ctrlProp" Target="../ctrlProps/ctrlProp243.xml"/><Relationship Id="rId2" Type="http://schemas.openxmlformats.org/officeDocument/2006/relationships/drawing" Target="../drawings/drawing19.xml"/><Relationship Id="rId16" Type="http://schemas.openxmlformats.org/officeDocument/2006/relationships/ctrlProp" Target="../ctrlProps/ctrlProp247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237.xml"/><Relationship Id="rId11" Type="http://schemas.openxmlformats.org/officeDocument/2006/relationships/ctrlProp" Target="../ctrlProps/ctrlProp242.xml"/><Relationship Id="rId5" Type="http://schemas.openxmlformats.org/officeDocument/2006/relationships/ctrlProp" Target="../ctrlProps/ctrlProp236.xml"/><Relationship Id="rId15" Type="http://schemas.openxmlformats.org/officeDocument/2006/relationships/ctrlProp" Target="../ctrlProps/ctrlProp246.xml"/><Relationship Id="rId10" Type="http://schemas.openxmlformats.org/officeDocument/2006/relationships/ctrlProp" Target="../ctrlProps/ctrlProp241.xml"/><Relationship Id="rId4" Type="http://schemas.openxmlformats.org/officeDocument/2006/relationships/ctrlProp" Target="../ctrlProps/ctrlProp235.xml"/><Relationship Id="rId9" Type="http://schemas.openxmlformats.org/officeDocument/2006/relationships/ctrlProp" Target="../ctrlProps/ctrlProp240.xml"/><Relationship Id="rId14" Type="http://schemas.openxmlformats.org/officeDocument/2006/relationships/ctrlProp" Target="../ctrlProps/ctrlProp245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2.xml"/><Relationship Id="rId13" Type="http://schemas.openxmlformats.org/officeDocument/2006/relationships/ctrlProp" Target="../ctrlProps/ctrlProp257.xml"/><Relationship Id="rId3" Type="http://schemas.openxmlformats.org/officeDocument/2006/relationships/vmlDrawing" Target="../drawings/vmlDrawing20.vml"/><Relationship Id="rId7" Type="http://schemas.openxmlformats.org/officeDocument/2006/relationships/ctrlProp" Target="../ctrlProps/ctrlProp251.xml"/><Relationship Id="rId12" Type="http://schemas.openxmlformats.org/officeDocument/2006/relationships/ctrlProp" Target="../ctrlProps/ctrlProp256.xml"/><Relationship Id="rId2" Type="http://schemas.openxmlformats.org/officeDocument/2006/relationships/drawing" Target="../drawings/drawing20.xml"/><Relationship Id="rId16" Type="http://schemas.openxmlformats.org/officeDocument/2006/relationships/ctrlProp" Target="../ctrlProps/ctrlProp260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250.xml"/><Relationship Id="rId11" Type="http://schemas.openxmlformats.org/officeDocument/2006/relationships/ctrlProp" Target="../ctrlProps/ctrlProp255.xml"/><Relationship Id="rId5" Type="http://schemas.openxmlformats.org/officeDocument/2006/relationships/ctrlProp" Target="../ctrlProps/ctrlProp249.xml"/><Relationship Id="rId15" Type="http://schemas.openxmlformats.org/officeDocument/2006/relationships/ctrlProp" Target="../ctrlProps/ctrlProp259.xml"/><Relationship Id="rId10" Type="http://schemas.openxmlformats.org/officeDocument/2006/relationships/ctrlProp" Target="../ctrlProps/ctrlProp254.xml"/><Relationship Id="rId4" Type="http://schemas.openxmlformats.org/officeDocument/2006/relationships/ctrlProp" Target="../ctrlProps/ctrlProp248.xml"/><Relationship Id="rId9" Type="http://schemas.openxmlformats.org/officeDocument/2006/relationships/ctrlProp" Target="../ctrlProps/ctrlProp253.xml"/><Relationship Id="rId14" Type="http://schemas.openxmlformats.org/officeDocument/2006/relationships/ctrlProp" Target="../ctrlProps/ctrlProp258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5.xml"/><Relationship Id="rId13" Type="http://schemas.openxmlformats.org/officeDocument/2006/relationships/ctrlProp" Target="../ctrlProps/ctrlProp270.xml"/><Relationship Id="rId3" Type="http://schemas.openxmlformats.org/officeDocument/2006/relationships/vmlDrawing" Target="../drawings/vmlDrawing21.vml"/><Relationship Id="rId7" Type="http://schemas.openxmlformats.org/officeDocument/2006/relationships/ctrlProp" Target="../ctrlProps/ctrlProp264.xml"/><Relationship Id="rId12" Type="http://schemas.openxmlformats.org/officeDocument/2006/relationships/ctrlProp" Target="../ctrlProps/ctrlProp269.xml"/><Relationship Id="rId2" Type="http://schemas.openxmlformats.org/officeDocument/2006/relationships/drawing" Target="../drawings/drawing21.xml"/><Relationship Id="rId16" Type="http://schemas.openxmlformats.org/officeDocument/2006/relationships/ctrlProp" Target="../ctrlProps/ctrlProp273.xml"/><Relationship Id="rId1" Type="http://schemas.openxmlformats.org/officeDocument/2006/relationships/printerSettings" Target="../printerSettings/printerSettings21.bin"/><Relationship Id="rId6" Type="http://schemas.openxmlformats.org/officeDocument/2006/relationships/ctrlProp" Target="../ctrlProps/ctrlProp263.xml"/><Relationship Id="rId11" Type="http://schemas.openxmlformats.org/officeDocument/2006/relationships/ctrlProp" Target="../ctrlProps/ctrlProp268.xml"/><Relationship Id="rId5" Type="http://schemas.openxmlformats.org/officeDocument/2006/relationships/ctrlProp" Target="../ctrlProps/ctrlProp262.xml"/><Relationship Id="rId15" Type="http://schemas.openxmlformats.org/officeDocument/2006/relationships/ctrlProp" Target="../ctrlProps/ctrlProp272.xml"/><Relationship Id="rId10" Type="http://schemas.openxmlformats.org/officeDocument/2006/relationships/ctrlProp" Target="../ctrlProps/ctrlProp267.xml"/><Relationship Id="rId4" Type="http://schemas.openxmlformats.org/officeDocument/2006/relationships/ctrlProp" Target="../ctrlProps/ctrlProp261.xml"/><Relationship Id="rId9" Type="http://schemas.openxmlformats.org/officeDocument/2006/relationships/ctrlProp" Target="../ctrlProps/ctrlProp266.xml"/><Relationship Id="rId14" Type="http://schemas.openxmlformats.org/officeDocument/2006/relationships/ctrlProp" Target="../ctrlProps/ctrlProp271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8.xml"/><Relationship Id="rId13" Type="http://schemas.openxmlformats.org/officeDocument/2006/relationships/ctrlProp" Target="../ctrlProps/ctrlProp283.xml"/><Relationship Id="rId3" Type="http://schemas.openxmlformats.org/officeDocument/2006/relationships/vmlDrawing" Target="../drawings/vmlDrawing22.vml"/><Relationship Id="rId7" Type="http://schemas.openxmlformats.org/officeDocument/2006/relationships/ctrlProp" Target="../ctrlProps/ctrlProp277.xml"/><Relationship Id="rId12" Type="http://schemas.openxmlformats.org/officeDocument/2006/relationships/ctrlProp" Target="../ctrlProps/ctrlProp282.xml"/><Relationship Id="rId2" Type="http://schemas.openxmlformats.org/officeDocument/2006/relationships/drawing" Target="../drawings/drawing22.xml"/><Relationship Id="rId16" Type="http://schemas.openxmlformats.org/officeDocument/2006/relationships/ctrlProp" Target="../ctrlProps/ctrlProp286.xml"/><Relationship Id="rId1" Type="http://schemas.openxmlformats.org/officeDocument/2006/relationships/printerSettings" Target="../printerSettings/printerSettings22.bin"/><Relationship Id="rId6" Type="http://schemas.openxmlformats.org/officeDocument/2006/relationships/ctrlProp" Target="../ctrlProps/ctrlProp276.xml"/><Relationship Id="rId11" Type="http://schemas.openxmlformats.org/officeDocument/2006/relationships/ctrlProp" Target="../ctrlProps/ctrlProp281.xml"/><Relationship Id="rId5" Type="http://schemas.openxmlformats.org/officeDocument/2006/relationships/ctrlProp" Target="../ctrlProps/ctrlProp275.xml"/><Relationship Id="rId15" Type="http://schemas.openxmlformats.org/officeDocument/2006/relationships/ctrlProp" Target="../ctrlProps/ctrlProp285.xml"/><Relationship Id="rId10" Type="http://schemas.openxmlformats.org/officeDocument/2006/relationships/ctrlProp" Target="../ctrlProps/ctrlProp280.xml"/><Relationship Id="rId4" Type="http://schemas.openxmlformats.org/officeDocument/2006/relationships/ctrlProp" Target="../ctrlProps/ctrlProp274.xml"/><Relationship Id="rId9" Type="http://schemas.openxmlformats.org/officeDocument/2006/relationships/ctrlProp" Target="../ctrlProps/ctrlProp279.xml"/><Relationship Id="rId14" Type="http://schemas.openxmlformats.org/officeDocument/2006/relationships/ctrlProp" Target="../ctrlProps/ctrlProp284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1.xml"/><Relationship Id="rId13" Type="http://schemas.openxmlformats.org/officeDocument/2006/relationships/ctrlProp" Target="../ctrlProps/ctrlProp296.xml"/><Relationship Id="rId3" Type="http://schemas.openxmlformats.org/officeDocument/2006/relationships/vmlDrawing" Target="../drawings/vmlDrawing23.vml"/><Relationship Id="rId7" Type="http://schemas.openxmlformats.org/officeDocument/2006/relationships/ctrlProp" Target="../ctrlProps/ctrlProp290.xml"/><Relationship Id="rId12" Type="http://schemas.openxmlformats.org/officeDocument/2006/relationships/ctrlProp" Target="../ctrlProps/ctrlProp295.xml"/><Relationship Id="rId2" Type="http://schemas.openxmlformats.org/officeDocument/2006/relationships/drawing" Target="../drawings/drawing23.xml"/><Relationship Id="rId16" Type="http://schemas.openxmlformats.org/officeDocument/2006/relationships/ctrlProp" Target="../ctrlProps/ctrlProp299.xml"/><Relationship Id="rId1" Type="http://schemas.openxmlformats.org/officeDocument/2006/relationships/printerSettings" Target="../printerSettings/printerSettings23.bin"/><Relationship Id="rId6" Type="http://schemas.openxmlformats.org/officeDocument/2006/relationships/ctrlProp" Target="../ctrlProps/ctrlProp289.xml"/><Relationship Id="rId11" Type="http://schemas.openxmlformats.org/officeDocument/2006/relationships/ctrlProp" Target="../ctrlProps/ctrlProp294.xml"/><Relationship Id="rId5" Type="http://schemas.openxmlformats.org/officeDocument/2006/relationships/ctrlProp" Target="../ctrlProps/ctrlProp288.xml"/><Relationship Id="rId15" Type="http://schemas.openxmlformats.org/officeDocument/2006/relationships/ctrlProp" Target="../ctrlProps/ctrlProp298.xml"/><Relationship Id="rId10" Type="http://schemas.openxmlformats.org/officeDocument/2006/relationships/ctrlProp" Target="../ctrlProps/ctrlProp293.xml"/><Relationship Id="rId4" Type="http://schemas.openxmlformats.org/officeDocument/2006/relationships/ctrlProp" Target="../ctrlProps/ctrlProp287.xml"/><Relationship Id="rId9" Type="http://schemas.openxmlformats.org/officeDocument/2006/relationships/ctrlProp" Target="../ctrlProps/ctrlProp292.xml"/><Relationship Id="rId14" Type="http://schemas.openxmlformats.org/officeDocument/2006/relationships/ctrlProp" Target="../ctrlProps/ctrlProp29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49"/>
  <sheetViews>
    <sheetView view="pageBreakPreview" topLeftCell="A28" zoomScale="140" zoomScaleNormal="140" workbookViewId="0">
      <selection activeCell="C43" sqref="C43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9" ht="51.75" customHeight="1"/>
    <row r="2" spans="1:9" ht="16.5" customHeight="1">
      <c r="A2" s="128" t="s">
        <v>0</v>
      </c>
      <c r="B2" s="128"/>
      <c r="C2" s="128"/>
      <c r="D2" s="128"/>
      <c r="E2" s="128"/>
      <c r="F2" s="128"/>
    </row>
    <row r="3" spans="1:9">
      <c r="D3" s="129"/>
      <c r="E3" s="129"/>
      <c r="F3" s="2" t="s">
        <v>1</v>
      </c>
      <c r="G3" s="3"/>
    </row>
    <row r="4" spans="1:9" ht="15.75">
      <c r="A4" s="4" t="s">
        <v>2</v>
      </c>
      <c r="B4" s="5"/>
      <c r="C4" s="5"/>
      <c r="D4" s="5"/>
      <c r="F4" s="6" t="s">
        <v>3</v>
      </c>
      <c r="G4" s="7"/>
    </row>
    <row r="5" spans="1:9" ht="15.75">
      <c r="A5" s="8" t="s">
        <v>4</v>
      </c>
      <c r="F5" s="5"/>
    </row>
    <row r="6" spans="1:9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9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9" ht="13.5" customHeight="1">
      <c r="A8" s="9" t="s">
        <v>11</v>
      </c>
      <c r="C8" s="15"/>
      <c r="E8" s="11" t="s">
        <v>8</v>
      </c>
      <c r="F8" s="16"/>
      <c r="G8" s="17"/>
      <c r="H8" s="9"/>
    </row>
    <row r="9" spans="1:9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9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9" ht="15" customHeight="1">
      <c r="A11" s="9" t="s">
        <v>18</v>
      </c>
      <c r="C11" s="22"/>
      <c r="E11" s="11" t="s">
        <v>8</v>
      </c>
      <c r="F11" s="14"/>
      <c r="G11" s="23"/>
    </row>
    <row r="12" spans="1:9" ht="15" customHeight="1">
      <c r="A12" s="9" t="s">
        <v>19</v>
      </c>
      <c r="B12" s="124"/>
      <c r="C12" s="124"/>
      <c r="E12" s="11" t="s">
        <v>8</v>
      </c>
      <c r="F12" s="16"/>
      <c r="G12" s="17"/>
      <c r="H12" s="9"/>
    </row>
    <row r="13" spans="1:9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</row>
    <row r="14" spans="1:9" ht="15" customHeight="1">
      <c r="A14" s="9" t="s">
        <v>21</v>
      </c>
      <c r="C14" s="24"/>
      <c r="E14" s="11" t="s">
        <v>8</v>
      </c>
      <c r="F14" s="16"/>
      <c r="G14" s="17"/>
      <c r="H14" s="9"/>
    </row>
    <row r="15" spans="1:9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9" ht="15" customHeight="1">
      <c r="A16" s="9" t="s">
        <v>25</v>
      </c>
      <c r="B16" s="132"/>
      <c r="C16" s="132"/>
      <c r="D16" s="132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104"/>
      <c r="E21" s="11" t="s">
        <v>8</v>
      </c>
      <c r="F21" s="12"/>
    </row>
    <row r="22" spans="1:8" ht="15" customHeight="1">
      <c r="A22" s="9" t="s">
        <v>31</v>
      </c>
      <c r="C22" s="105"/>
      <c r="E22" s="11" t="s">
        <v>8</v>
      </c>
      <c r="F22" s="12"/>
      <c r="G22" s="9"/>
    </row>
    <row r="23" spans="1:8" ht="15" customHeight="1">
      <c r="A23" s="9" t="s">
        <v>32</v>
      </c>
      <c r="C23" s="105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105"/>
      <c r="E24" s="11"/>
      <c r="F24" s="12"/>
      <c r="G24" s="17"/>
      <c r="H24" s="9"/>
    </row>
    <row r="25" spans="1:8" ht="15" customHeight="1">
      <c r="A25" s="9" t="s">
        <v>34</v>
      </c>
      <c r="B25" s="123"/>
      <c r="C25" s="124"/>
      <c r="D25" s="31"/>
      <c r="E25" s="11" t="s">
        <v>8</v>
      </c>
      <c r="F25" s="12"/>
      <c r="G25" s="9"/>
    </row>
    <row r="26" spans="1:8" ht="12" customHeight="1">
      <c r="A26" s="9" t="s">
        <v>35</v>
      </c>
      <c r="C26" s="106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3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3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ht="15" customHeight="1">
      <c r="A35" s="9" t="s">
        <v>46</v>
      </c>
      <c r="E35" s="11"/>
      <c r="F35" s="35"/>
      <c r="I35" s="40"/>
      <c r="J35" s="51"/>
      <c r="K35" s="40"/>
      <c r="M35" s="109" t="s">
        <v>47</v>
      </c>
    </row>
    <row r="36" spans="1:13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3" ht="15" customHeight="1">
      <c r="A37" s="9" t="s">
        <v>49</v>
      </c>
      <c r="C37" s="36"/>
      <c r="E37" s="11" t="s">
        <v>8</v>
      </c>
      <c r="F37" s="12"/>
    </row>
    <row r="38" spans="1:13" ht="15" customHeight="1">
      <c r="A38" s="9" t="s">
        <v>50</v>
      </c>
      <c r="B38" s="125"/>
      <c r="C38" s="125"/>
      <c r="D38" s="9"/>
      <c r="E38" s="11" t="s">
        <v>8</v>
      </c>
      <c r="F38" s="12"/>
      <c r="G38" s="9"/>
    </row>
    <row r="39" spans="1:13" ht="15" customHeight="1">
      <c r="A39" s="38" t="s">
        <v>51</v>
      </c>
      <c r="C39" s="39"/>
      <c r="E39" s="11" t="s">
        <v>8</v>
      </c>
      <c r="F39" s="12"/>
      <c r="H39" s="40"/>
    </row>
    <row r="40" spans="1:13" ht="15" customHeight="1">
      <c r="C40" s="107"/>
      <c r="E40" s="11"/>
      <c r="F40" s="12">
        <v>500</v>
      </c>
      <c r="H40" s="40"/>
    </row>
    <row r="41" spans="1:13" ht="15" customHeight="1">
      <c r="A41" s="46"/>
      <c r="B41" s="42"/>
      <c r="C41" s="108"/>
      <c r="D41" s="42"/>
      <c r="E41" s="44"/>
      <c r="F41" s="12"/>
      <c r="H41" s="40"/>
    </row>
    <row r="42" spans="1:13" ht="15" customHeight="1">
      <c r="A42" s="46"/>
      <c r="B42" s="42"/>
      <c r="C42" s="108"/>
      <c r="D42" s="42"/>
      <c r="E42" s="44"/>
      <c r="F42" s="12"/>
      <c r="H42" s="40"/>
    </row>
    <row r="43" spans="1:13" ht="15" customHeight="1">
      <c r="A43" s="46"/>
      <c r="B43" s="42"/>
      <c r="C43" s="108"/>
      <c r="D43" s="42"/>
      <c r="E43" s="44"/>
      <c r="F43" s="12"/>
      <c r="H43" s="40"/>
    </row>
    <row r="44" spans="1:13" ht="21.75" customHeight="1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9"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ageMargins left="0.75" right="0.75" top="0.75" bottom="0.5" header="0.12" footer="0.33"/>
  <pageSetup paperSize="256" scale="93" orientation="portrait" r:id="rId1"/>
  <headerFooter>
    <oddFooter>&amp;LEffectivity Date: March 2014&amp;CRev. 0&amp;RPage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view="pageBreakPreview" zoomScale="140" zoomScaleNormal="140" workbookViewId="0">
      <selection activeCell="F13" sqref="F13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9.5703125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115" t="s">
        <v>99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>
        <v>27000</v>
      </c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B11" s="124"/>
      <c r="C11" s="124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2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2" customHeight="1">
      <c r="A13" s="9" t="s">
        <v>20</v>
      </c>
      <c r="B13" s="130"/>
      <c r="C13" s="13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2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2" customHeight="1">
      <c r="A16" s="9" t="s">
        <v>25</v>
      </c>
      <c r="B16" s="132"/>
      <c r="C16" s="132"/>
      <c r="D16" s="132"/>
      <c r="E16" s="11" t="s">
        <v>8</v>
      </c>
      <c r="F16" s="16"/>
      <c r="J16" s="11" t="s">
        <v>60</v>
      </c>
      <c r="M16" s="1">
        <f>SUM(300*4)</f>
        <v>1200</v>
      </c>
    </row>
    <row r="17" spans="1:11" ht="12" customHeight="1">
      <c r="A17" s="9" t="s">
        <v>26</v>
      </c>
      <c r="C17" s="24"/>
      <c r="D17" s="9"/>
      <c r="E17" s="11" t="s">
        <v>8</v>
      </c>
      <c r="F17" s="16"/>
      <c r="G17" s="9"/>
      <c r="H17" s="11" t="s">
        <v>61</v>
      </c>
    </row>
    <row r="18" spans="1:11" ht="13.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 t="s">
        <v>62</v>
      </c>
    </row>
    <row r="19" spans="1:11" ht="15.75">
      <c r="A19" s="8" t="s">
        <v>28</v>
      </c>
      <c r="E19" s="11"/>
      <c r="F19" s="27"/>
    </row>
    <row r="20" spans="1:11" ht="12" customHeight="1">
      <c r="A20" s="9" t="s">
        <v>29</v>
      </c>
      <c r="C20" s="22"/>
      <c r="E20" s="11" t="s">
        <v>8</v>
      </c>
      <c r="F20" s="12"/>
    </row>
    <row r="21" spans="1:11" ht="12" customHeight="1">
      <c r="A21" s="9" t="s">
        <v>30</v>
      </c>
      <c r="C21" s="11" t="s">
        <v>96</v>
      </c>
      <c r="E21" s="11" t="s">
        <v>8</v>
      </c>
      <c r="F21" s="12">
        <v>4500</v>
      </c>
    </row>
    <row r="22" spans="1:11" ht="12" customHeight="1">
      <c r="A22" s="9" t="s">
        <v>31</v>
      </c>
      <c r="C22" s="11" t="s">
        <v>96</v>
      </c>
      <c r="E22" s="11" t="s">
        <v>8</v>
      </c>
      <c r="F22" s="12">
        <v>4500</v>
      </c>
      <c r="G22" s="9"/>
      <c r="I22" s="1">
        <f>300*7.5</f>
        <v>2250</v>
      </c>
    </row>
    <row r="23" spans="1:11" ht="12.75" customHeight="1">
      <c r="A23" s="9" t="s">
        <v>32</v>
      </c>
      <c r="C23" s="11" t="s">
        <v>97</v>
      </c>
      <c r="E23" s="11" t="s">
        <v>8</v>
      </c>
      <c r="F23" s="12">
        <v>260</v>
      </c>
      <c r="G23" s="17"/>
      <c r="H23" s="9"/>
    </row>
    <row r="24" spans="1:11" ht="16.5" customHeight="1">
      <c r="A24" s="9" t="s">
        <v>33</v>
      </c>
      <c r="C24" s="11" t="s">
        <v>98</v>
      </c>
      <c r="E24" s="11"/>
      <c r="F24" s="12">
        <v>40</v>
      </c>
      <c r="G24" s="17"/>
      <c r="H24" s="9"/>
      <c r="K24" s="1">
        <v>7500</v>
      </c>
    </row>
    <row r="25" spans="1:11" ht="12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>
        <v>650</v>
      </c>
      <c r="E38" s="11" t="s">
        <v>8</v>
      </c>
      <c r="F38" s="12">
        <v>650</v>
      </c>
      <c r="H38" s="40"/>
      <c r="I38" s="135"/>
      <c r="J38" s="135"/>
      <c r="K38" s="135"/>
    </row>
    <row r="39" spans="1:11" ht="15" customHeight="1">
      <c r="A39" s="41"/>
      <c r="C39" s="39">
        <v>2000</v>
      </c>
      <c r="E39" s="11" t="s">
        <v>8</v>
      </c>
      <c r="F39" s="12">
        <v>2000</v>
      </c>
      <c r="H39" s="40"/>
      <c r="I39" s="135"/>
      <c r="J39" s="135"/>
      <c r="K39" s="135"/>
    </row>
    <row r="40" spans="1:11" ht="15" customHeight="1">
      <c r="A40" s="41"/>
      <c r="B40" s="42"/>
      <c r="C40" s="43">
        <v>1250</v>
      </c>
      <c r="D40" s="42"/>
      <c r="E40" s="11" t="s">
        <v>8</v>
      </c>
      <c r="F40" s="12">
        <v>1250</v>
      </c>
      <c r="H40" s="40"/>
    </row>
    <row r="41" spans="1:11" ht="15" customHeight="1">
      <c r="A41" s="45"/>
      <c r="B41" s="42"/>
      <c r="C41" s="43"/>
      <c r="D41" s="42"/>
      <c r="E41" s="11" t="s">
        <v>8</v>
      </c>
      <c r="F41" s="12"/>
      <c r="H41" s="40"/>
    </row>
    <row r="42" spans="1:11" ht="15" customHeight="1">
      <c r="A42" s="46" t="s">
        <v>66</v>
      </c>
      <c r="B42" s="42"/>
      <c r="C42" s="43"/>
      <c r="D42" s="42"/>
      <c r="E42" s="11" t="s">
        <v>8</v>
      </c>
      <c r="F42" s="12"/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SUM(F6:F44)</f>
        <v>40200</v>
      </c>
      <c r="G45" s="50" t="s">
        <v>67</v>
      </c>
      <c r="H45" s="40"/>
    </row>
    <row r="46" spans="1:11" ht="12" customHeight="1">
      <c r="H46" s="51"/>
    </row>
    <row r="47" spans="1:11">
      <c r="A47" s="1" t="s">
        <v>53</v>
      </c>
      <c r="C47" s="52" t="s">
        <v>54</v>
      </c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26" t="s">
        <v>57</v>
      </c>
      <c r="E49" s="126"/>
      <c r="F49" s="126"/>
      <c r="K49" s="40"/>
    </row>
    <row r="50" spans="1:11">
      <c r="D50" s="127" t="s">
        <v>58</v>
      </c>
      <c r="E50" s="127"/>
      <c r="F50" s="127"/>
    </row>
  </sheetData>
  <mergeCells count="13">
    <mergeCell ref="D49:F49"/>
    <mergeCell ref="D50:F50"/>
    <mergeCell ref="I32:K39"/>
    <mergeCell ref="B13:C13"/>
    <mergeCell ref="B16:D16"/>
    <mergeCell ref="B25:C25"/>
    <mergeCell ref="B26:C26"/>
    <mergeCell ref="B37:C37"/>
    <mergeCell ref="A2:F2"/>
    <mergeCell ref="D3:E3"/>
    <mergeCell ref="H10:N10"/>
    <mergeCell ref="B11:C11"/>
    <mergeCell ref="B12:C12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0EA0-3190-443E-B941-F3D6971370A6}">
  <dimension ref="A1:N50"/>
  <sheetViews>
    <sheetView view="pageBreakPreview" topLeftCell="A16" zoomScale="140" zoomScaleNormal="140" workbookViewId="0">
      <selection activeCell="G34" sqref="G34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9.5703125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109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B11" s="124"/>
      <c r="C11" s="124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2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2" customHeight="1">
      <c r="A13" s="9" t="s">
        <v>20</v>
      </c>
      <c r="B13" s="138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2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2" customHeight="1">
      <c r="A16" s="9" t="s">
        <v>25</v>
      </c>
      <c r="E16" s="11" t="s">
        <v>8</v>
      </c>
      <c r="F16" s="16"/>
      <c r="J16" s="11" t="s">
        <v>60</v>
      </c>
      <c r="M16" s="1">
        <f>SUM(300*4)</f>
        <v>1200</v>
      </c>
    </row>
    <row r="17" spans="1:11" ht="12" customHeight="1">
      <c r="A17" s="9" t="s">
        <v>26</v>
      </c>
      <c r="C17" s="24"/>
      <c r="D17" s="9"/>
      <c r="E17" s="11" t="s">
        <v>8</v>
      </c>
      <c r="F17" s="16"/>
      <c r="G17" s="9"/>
      <c r="H17" s="11" t="s">
        <v>61</v>
      </c>
    </row>
    <row r="18" spans="1:11" ht="13.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 t="s">
        <v>62</v>
      </c>
    </row>
    <row r="19" spans="1:11" ht="15.75">
      <c r="A19" s="8" t="s">
        <v>28</v>
      </c>
      <c r="E19" s="11"/>
      <c r="F19" s="27"/>
    </row>
    <row r="20" spans="1:11" ht="12" customHeight="1">
      <c r="A20" s="9" t="s">
        <v>29</v>
      </c>
      <c r="C20" s="22"/>
      <c r="E20" s="11" t="s">
        <v>8</v>
      </c>
      <c r="F20" s="12"/>
    </row>
    <row r="21" spans="1:11" ht="12" customHeight="1">
      <c r="A21" s="9" t="s">
        <v>30</v>
      </c>
      <c r="C21" s="11"/>
      <c r="E21" s="11" t="s">
        <v>8</v>
      </c>
      <c r="F21" s="12"/>
    </row>
    <row r="22" spans="1:11" ht="12" customHeight="1">
      <c r="A22" s="9" t="s">
        <v>31</v>
      </c>
      <c r="C22" s="11"/>
      <c r="E22" s="11" t="s">
        <v>8</v>
      </c>
      <c r="F22" s="12"/>
      <c r="G22" s="9"/>
      <c r="I22" s="1">
        <f>300*7.5</f>
        <v>2250</v>
      </c>
    </row>
    <row r="23" spans="1:11" ht="12.75" customHeight="1">
      <c r="A23" s="9" t="s">
        <v>32</v>
      </c>
      <c r="C23" s="11"/>
      <c r="E23" s="11" t="s">
        <v>8</v>
      </c>
      <c r="F23" s="12"/>
      <c r="G23" s="17"/>
      <c r="H23" s="9"/>
    </row>
    <row r="24" spans="1:11" ht="16.5" customHeight="1">
      <c r="A24" s="9" t="s">
        <v>33</v>
      </c>
      <c r="C24" s="11"/>
      <c r="E24" s="11"/>
      <c r="F24" s="12"/>
      <c r="G24" s="17"/>
      <c r="H24" s="9"/>
      <c r="K24" s="1">
        <v>7500</v>
      </c>
    </row>
    <row r="25" spans="1:11" ht="12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>
        <v>1300</v>
      </c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/>
      <c r="E38" s="11" t="s">
        <v>8</v>
      </c>
      <c r="F38" s="12"/>
      <c r="H38" s="40"/>
      <c r="I38" s="135"/>
      <c r="J38" s="135"/>
      <c r="K38" s="135"/>
    </row>
    <row r="39" spans="1:11" ht="15" customHeight="1">
      <c r="A39" s="41"/>
      <c r="C39" s="39"/>
      <c r="E39" s="11" t="s">
        <v>8</v>
      </c>
      <c r="F39" s="12"/>
      <c r="H39" s="40"/>
      <c r="I39" s="135"/>
      <c r="J39" s="135"/>
      <c r="K39" s="135"/>
    </row>
    <row r="40" spans="1:11" ht="15" customHeight="1">
      <c r="A40" s="41"/>
      <c r="B40" s="42"/>
      <c r="C40" s="43"/>
      <c r="D40" s="42"/>
      <c r="E40" s="11" t="s">
        <v>8</v>
      </c>
      <c r="F40" s="12"/>
      <c r="H40" s="40"/>
    </row>
    <row r="41" spans="1:11" ht="15" customHeight="1">
      <c r="A41" s="45"/>
      <c r="B41" s="42"/>
      <c r="C41" s="43"/>
      <c r="D41" s="42"/>
      <c r="E41" s="11" t="s">
        <v>8</v>
      </c>
      <c r="F41" s="12"/>
      <c r="H41" s="40"/>
    </row>
    <row r="42" spans="1:11" ht="15" customHeight="1">
      <c r="A42" s="46" t="s">
        <v>66</v>
      </c>
      <c r="B42" s="42"/>
      <c r="C42" s="43"/>
      <c r="D42" s="42"/>
      <c r="E42" s="11" t="s">
        <v>8</v>
      </c>
      <c r="F42" s="12"/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SUM(F6:F44)</f>
        <v>1300</v>
      </c>
      <c r="G45" s="50" t="s">
        <v>67</v>
      </c>
      <c r="H45" s="40"/>
    </row>
    <row r="46" spans="1:11" ht="12" customHeight="1">
      <c r="H46" s="51"/>
    </row>
    <row r="47" spans="1:11">
      <c r="A47" s="1" t="s">
        <v>53</v>
      </c>
      <c r="C47" s="52" t="s">
        <v>54</v>
      </c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26" t="s">
        <v>57</v>
      </c>
      <c r="E49" s="126"/>
      <c r="F49" s="126"/>
      <c r="K49" s="40"/>
    </row>
    <row r="50" spans="1:11">
      <c r="D50" s="127" t="s">
        <v>58</v>
      </c>
      <c r="E50" s="127"/>
      <c r="F50" s="127"/>
    </row>
  </sheetData>
  <mergeCells count="12">
    <mergeCell ref="D50:F50"/>
    <mergeCell ref="A2:F2"/>
    <mergeCell ref="D3:E3"/>
    <mergeCell ref="H10:N10"/>
    <mergeCell ref="B11:C11"/>
    <mergeCell ref="B12:C12"/>
    <mergeCell ref="B13:D13"/>
    <mergeCell ref="B25:C25"/>
    <mergeCell ref="B26:C26"/>
    <mergeCell ref="I32:K39"/>
    <mergeCell ref="B37:C37"/>
    <mergeCell ref="D49:F49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1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2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3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4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5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6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7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152400</xdr:rowOff>
                  </from>
                  <to>
                    <xdr:col>1</xdr:col>
                    <xdr:colOff>723900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8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152400</xdr:rowOff>
                  </from>
                  <to>
                    <xdr:col>2</xdr:col>
                    <xdr:colOff>685800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9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60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61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view="pageBreakPreview" zoomScale="140" zoomScaleNormal="140" workbookViewId="0">
      <selection activeCell="C9" sqref="C9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9.5703125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142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B11" s="124"/>
      <c r="C11" s="124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2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2" customHeight="1">
      <c r="A13" s="9" t="s">
        <v>20</v>
      </c>
      <c r="B13" s="139" t="s">
        <v>141</v>
      </c>
      <c r="C13" s="140"/>
      <c r="D13" s="140"/>
      <c r="E13" s="11" t="s">
        <v>8</v>
      </c>
      <c r="F13" s="16">
        <v>1000</v>
      </c>
      <c r="G13" s="17"/>
      <c r="H13" s="9"/>
      <c r="I13" s="53"/>
      <c r="J13" s="53"/>
      <c r="K13" s="53"/>
      <c r="L13" s="53"/>
      <c r="M13" s="53"/>
      <c r="N13" s="53"/>
    </row>
    <row r="14" spans="1:14" ht="12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2" customHeight="1">
      <c r="A16" s="9" t="s">
        <v>25</v>
      </c>
      <c r="E16" s="11" t="s">
        <v>8</v>
      </c>
      <c r="F16" s="16"/>
      <c r="J16" s="11" t="s">
        <v>60</v>
      </c>
      <c r="M16" s="1">
        <f>SUM(300*4)</f>
        <v>1200</v>
      </c>
    </row>
    <row r="17" spans="1:11" ht="12" customHeight="1">
      <c r="A17" s="9" t="s">
        <v>26</v>
      </c>
      <c r="C17" s="24"/>
      <c r="D17" s="9"/>
      <c r="E17" s="11" t="s">
        <v>8</v>
      </c>
      <c r="F17" s="16"/>
      <c r="G17" s="9"/>
      <c r="H17" s="11" t="s">
        <v>61</v>
      </c>
    </row>
    <row r="18" spans="1:11" ht="13.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 t="s">
        <v>62</v>
      </c>
    </row>
    <row r="19" spans="1:11" ht="15.75">
      <c r="A19" s="8" t="s">
        <v>28</v>
      </c>
      <c r="E19" s="11"/>
      <c r="F19" s="27"/>
    </row>
    <row r="20" spans="1:11" ht="12" customHeight="1">
      <c r="A20" s="9" t="s">
        <v>29</v>
      </c>
      <c r="C20" s="22"/>
      <c r="E20" s="11" t="s">
        <v>8</v>
      </c>
      <c r="F20" s="12"/>
    </row>
    <row r="21" spans="1:11" ht="12" customHeight="1">
      <c r="A21" s="9" t="s">
        <v>30</v>
      </c>
      <c r="C21" s="11"/>
      <c r="E21" s="11" t="s">
        <v>8</v>
      </c>
      <c r="F21" s="12"/>
    </row>
    <row r="22" spans="1:11" ht="12" customHeight="1">
      <c r="A22" s="9" t="s">
        <v>31</v>
      </c>
      <c r="C22" s="11"/>
      <c r="E22" s="11" t="s">
        <v>8</v>
      </c>
      <c r="F22" s="12"/>
      <c r="G22" s="9"/>
      <c r="I22" s="1">
        <f>300*7.5</f>
        <v>2250</v>
      </c>
    </row>
    <row r="23" spans="1:11" ht="12.75" customHeight="1">
      <c r="A23" s="9" t="s">
        <v>32</v>
      </c>
      <c r="C23" s="11"/>
      <c r="E23" s="11" t="s">
        <v>8</v>
      </c>
      <c r="F23" s="12"/>
      <c r="G23" s="17"/>
      <c r="H23" s="9"/>
    </row>
    <row r="24" spans="1:11" ht="16.5" customHeight="1">
      <c r="A24" s="9" t="s">
        <v>33</v>
      </c>
      <c r="C24" s="11"/>
      <c r="E24" s="11"/>
      <c r="F24" s="12"/>
      <c r="G24" s="17"/>
      <c r="H24" s="9"/>
      <c r="K24" s="1">
        <v>7500</v>
      </c>
    </row>
    <row r="25" spans="1:11" ht="12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/>
      <c r="E38" s="11" t="s">
        <v>8</v>
      </c>
      <c r="F38" s="12"/>
      <c r="H38" s="40"/>
      <c r="I38" s="135"/>
      <c r="J38" s="135"/>
      <c r="K38" s="135"/>
    </row>
    <row r="39" spans="1:11" ht="15" customHeight="1">
      <c r="A39" s="41"/>
      <c r="C39" s="39"/>
      <c r="E39" s="11" t="s">
        <v>8</v>
      </c>
      <c r="F39" s="12"/>
      <c r="H39" s="40"/>
      <c r="I39" s="135"/>
      <c r="J39" s="135"/>
      <c r="K39" s="135"/>
    </row>
    <row r="40" spans="1:11" ht="15" customHeight="1">
      <c r="A40" s="41"/>
      <c r="B40" s="42"/>
      <c r="C40" s="43"/>
      <c r="D40" s="42"/>
      <c r="E40" s="11" t="s">
        <v>8</v>
      </c>
      <c r="F40" s="12"/>
      <c r="H40" s="40"/>
    </row>
    <row r="41" spans="1:11" ht="15" customHeight="1">
      <c r="A41" s="45"/>
      <c r="B41" s="42"/>
      <c r="C41" s="43"/>
      <c r="D41" s="42"/>
      <c r="E41" s="11" t="s">
        <v>8</v>
      </c>
      <c r="F41" s="12"/>
      <c r="H41" s="40"/>
    </row>
    <row r="42" spans="1:11" ht="15" customHeight="1">
      <c r="A42" s="46" t="s">
        <v>66</v>
      </c>
      <c r="B42" s="42"/>
      <c r="C42" s="43"/>
      <c r="D42" s="42"/>
      <c r="E42" s="11" t="s">
        <v>8</v>
      </c>
      <c r="F42" s="12"/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SUM(F6:F44)</f>
        <v>1000</v>
      </c>
      <c r="G45" s="50" t="s">
        <v>67</v>
      </c>
      <c r="H45" s="40"/>
    </row>
    <row r="46" spans="1:11" ht="12" customHeight="1">
      <c r="H46" s="51"/>
    </row>
    <row r="47" spans="1:11">
      <c r="A47" s="1" t="s">
        <v>53</v>
      </c>
      <c r="C47" s="52" t="s">
        <v>54</v>
      </c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26" t="s">
        <v>57</v>
      </c>
      <c r="E49" s="126"/>
      <c r="F49" s="126"/>
      <c r="K49" s="40"/>
    </row>
    <row r="50" spans="1:11">
      <c r="D50" s="127" t="s">
        <v>58</v>
      </c>
      <c r="E50" s="127"/>
      <c r="F50" s="127"/>
    </row>
  </sheetData>
  <mergeCells count="12">
    <mergeCell ref="D49:F49"/>
    <mergeCell ref="D50:F50"/>
    <mergeCell ref="I32:K39"/>
    <mergeCell ref="B13:D13"/>
    <mergeCell ref="B25:C25"/>
    <mergeCell ref="B26:C26"/>
    <mergeCell ref="B37:C37"/>
    <mergeCell ref="A2:F2"/>
    <mergeCell ref="D3:E3"/>
    <mergeCell ref="H10:N10"/>
    <mergeCell ref="B11:C11"/>
    <mergeCell ref="B12:C12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1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2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3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4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5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6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7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152400</xdr:rowOff>
                  </from>
                  <to>
                    <xdr:col>1</xdr:col>
                    <xdr:colOff>723900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8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152400</xdr:rowOff>
                  </from>
                  <to>
                    <xdr:col>2</xdr:col>
                    <xdr:colOff>685800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9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0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1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view="pageBreakPreview" topLeftCell="A10" zoomScale="140" zoomScaleNormal="140" workbookViewId="0">
      <selection activeCell="C21" sqref="C21:C24"/>
    </sheetView>
  </sheetViews>
  <sheetFormatPr defaultColWidth="9.140625" defaultRowHeight="21"/>
  <cols>
    <col min="1" max="1" width="27.5703125" style="57" customWidth="1"/>
    <col min="2" max="2" width="15.28515625" style="57" customWidth="1"/>
    <col min="3" max="3" width="19.28515625" style="57" customWidth="1"/>
    <col min="4" max="4" width="3.5703125" style="57" customWidth="1"/>
    <col min="5" max="5" width="3" style="57" customWidth="1"/>
    <col min="6" max="6" width="20.42578125" style="57" customWidth="1"/>
    <col min="7" max="7" width="3.28515625" style="57" customWidth="1"/>
    <col min="8" max="8" width="23.85546875" style="57" customWidth="1"/>
    <col min="9" max="9" width="6.140625" style="57" customWidth="1"/>
    <col min="10" max="10" width="11.5703125" style="57" customWidth="1"/>
    <col min="11" max="11" width="10.5703125" style="57" customWidth="1"/>
    <col min="12" max="12" width="9.5703125" style="57" customWidth="1"/>
    <col min="13" max="13" width="9.140625" style="57"/>
    <col min="14" max="14" width="9.5703125" style="57" customWidth="1"/>
    <col min="15" max="16384" width="9.140625" style="57"/>
  </cols>
  <sheetData>
    <row r="1" spans="1:11" ht="51.75" customHeight="1"/>
    <row r="2" spans="1:11" ht="16.5" customHeight="1">
      <c r="A2" s="141" t="s">
        <v>59</v>
      </c>
      <c r="B2" s="141"/>
      <c r="C2" s="141"/>
      <c r="D2" s="141"/>
      <c r="E2" s="141"/>
      <c r="F2" s="141"/>
      <c r="G2" s="141"/>
      <c r="H2" s="141"/>
    </row>
    <row r="3" spans="1:11">
      <c r="D3" s="142"/>
      <c r="E3" s="142"/>
      <c r="F3" s="58" t="s">
        <v>1</v>
      </c>
      <c r="G3" s="58"/>
      <c r="H3" s="58"/>
      <c r="I3" s="96"/>
    </row>
    <row r="4" spans="1:11">
      <c r="A4" s="4" t="s">
        <v>95</v>
      </c>
      <c r="B4" s="59"/>
      <c r="C4" s="59"/>
      <c r="D4" s="59"/>
      <c r="F4" s="60" t="s">
        <v>3</v>
      </c>
      <c r="G4" s="60"/>
      <c r="H4" s="60"/>
      <c r="I4" s="97"/>
    </row>
    <row r="5" spans="1:11">
      <c r="A5" s="61" t="s">
        <v>4</v>
      </c>
      <c r="F5" s="110" t="s">
        <v>68</v>
      </c>
      <c r="G5" s="59"/>
      <c r="H5" s="110" t="s">
        <v>69</v>
      </c>
    </row>
    <row r="6" spans="1:11" ht="15" customHeight="1">
      <c r="A6" s="62" t="s">
        <v>5</v>
      </c>
      <c r="B6" s="63" t="s">
        <v>6</v>
      </c>
      <c r="C6" s="63" t="s">
        <v>7</v>
      </c>
      <c r="E6" s="64" t="s">
        <v>8</v>
      </c>
      <c r="F6" s="65"/>
      <c r="G6" s="64" t="s">
        <v>8</v>
      </c>
      <c r="H6" s="65"/>
      <c r="I6" s="98"/>
      <c r="J6" s="62"/>
    </row>
    <row r="7" spans="1:11" ht="15" customHeight="1">
      <c r="A7" s="62" t="s">
        <v>9</v>
      </c>
      <c r="B7" s="63" t="s">
        <v>10</v>
      </c>
      <c r="C7" s="63" t="s">
        <v>7</v>
      </c>
      <c r="E7" s="64" t="s">
        <v>8</v>
      </c>
      <c r="F7" s="66">
        <v>9000</v>
      </c>
      <c r="G7" s="64" t="s">
        <v>8</v>
      </c>
      <c r="H7" s="66">
        <v>14000</v>
      </c>
    </row>
    <row r="8" spans="1:11" ht="13.5" customHeight="1">
      <c r="A8" s="62" t="s">
        <v>11</v>
      </c>
      <c r="C8" s="67"/>
      <c r="E8" s="64" t="s">
        <v>8</v>
      </c>
      <c r="F8" s="68"/>
      <c r="G8" s="64" t="s">
        <v>8</v>
      </c>
      <c r="H8" s="68"/>
      <c r="I8" s="99"/>
      <c r="J8" s="62"/>
    </row>
    <row r="9" spans="1:11" ht="19.5" customHeight="1">
      <c r="A9" s="62" t="s">
        <v>12</v>
      </c>
      <c r="B9" s="69" t="s">
        <v>13</v>
      </c>
      <c r="C9" s="69" t="s">
        <v>14</v>
      </c>
      <c r="E9" s="64" t="s">
        <v>8</v>
      </c>
      <c r="F9" s="68"/>
      <c r="G9" s="64" t="s">
        <v>8</v>
      </c>
      <c r="H9" s="68"/>
      <c r="J9" s="99"/>
      <c r="K9" s="62"/>
    </row>
    <row r="10" spans="1:11" ht="20.25" customHeight="1">
      <c r="A10" s="62" t="s">
        <v>15</v>
      </c>
      <c r="B10" s="70" t="s">
        <v>16</v>
      </c>
      <c r="C10" s="69" t="s">
        <v>17</v>
      </c>
      <c r="D10" s="62"/>
      <c r="E10" s="64" t="s">
        <v>8</v>
      </c>
      <c r="F10" s="66"/>
      <c r="G10" s="64" t="s">
        <v>8</v>
      </c>
      <c r="H10" s="66"/>
      <c r="I10" s="62"/>
    </row>
    <row r="11" spans="1:11" ht="15" customHeight="1">
      <c r="A11" s="62" t="s">
        <v>18</v>
      </c>
      <c r="C11" s="71"/>
      <c r="E11" s="64" t="s">
        <v>8</v>
      </c>
      <c r="F11" s="66"/>
      <c r="G11" s="64" t="s">
        <v>8</v>
      </c>
      <c r="H11" s="66"/>
    </row>
    <row r="12" spans="1:11" ht="15" customHeight="1">
      <c r="A12" s="62" t="s">
        <v>19</v>
      </c>
      <c r="B12" s="143"/>
      <c r="C12" s="143"/>
      <c r="E12" s="64" t="s">
        <v>8</v>
      </c>
      <c r="F12" s="68"/>
      <c r="G12" s="64" t="s">
        <v>8</v>
      </c>
      <c r="H12" s="68"/>
      <c r="I12" s="99"/>
      <c r="J12" s="62"/>
    </row>
    <row r="13" spans="1:11" ht="15" customHeight="1">
      <c r="A13" s="62" t="s">
        <v>20</v>
      </c>
      <c r="B13" s="144"/>
      <c r="C13" s="143"/>
      <c r="E13" s="64" t="s">
        <v>8</v>
      </c>
      <c r="F13" s="68"/>
      <c r="G13" s="64" t="s">
        <v>8</v>
      </c>
      <c r="H13" s="68"/>
      <c r="I13" s="99"/>
      <c r="J13" s="62"/>
    </row>
    <row r="14" spans="1:11" ht="15" customHeight="1">
      <c r="A14" s="62" t="s">
        <v>21</v>
      </c>
      <c r="C14" s="72"/>
      <c r="E14" s="64" t="s">
        <v>8</v>
      </c>
      <c r="F14" s="68"/>
      <c r="G14" s="64" t="s">
        <v>8</v>
      </c>
      <c r="H14" s="68"/>
      <c r="I14" s="99"/>
      <c r="J14" s="62"/>
    </row>
    <row r="15" spans="1:11" ht="18" customHeight="1">
      <c r="A15" s="62" t="s">
        <v>22</v>
      </c>
      <c r="B15" s="73" t="s">
        <v>23</v>
      </c>
      <c r="C15" s="74" t="s">
        <v>24</v>
      </c>
      <c r="E15" s="64" t="s">
        <v>8</v>
      </c>
      <c r="F15" s="68"/>
      <c r="G15" s="64" t="s">
        <v>8</v>
      </c>
      <c r="H15" s="68"/>
    </row>
    <row r="16" spans="1:11" ht="15" customHeight="1">
      <c r="A16" s="62" t="s">
        <v>25</v>
      </c>
      <c r="B16" s="144"/>
      <c r="C16" s="144"/>
      <c r="D16" s="144"/>
      <c r="E16" s="64" t="s">
        <v>8</v>
      </c>
      <c r="F16" s="68"/>
      <c r="G16" s="64" t="s">
        <v>8</v>
      </c>
      <c r="H16" s="68"/>
    </row>
    <row r="17" spans="1:11" ht="15" customHeight="1">
      <c r="A17" s="62" t="s">
        <v>26</v>
      </c>
      <c r="C17" s="72"/>
      <c r="D17" s="62"/>
      <c r="E17" s="64" t="s">
        <v>8</v>
      </c>
      <c r="F17" s="68"/>
      <c r="G17" s="64" t="s">
        <v>8</v>
      </c>
      <c r="H17" s="68"/>
      <c r="I17" s="62"/>
    </row>
    <row r="18" spans="1:11">
      <c r="A18" s="62" t="s">
        <v>27</v>
      </c>
      <c r="C18" s="72"/>
      <c r="D18" s="62"/>
      <c r="E18" s="64" t="s">
        <v>8</v>
      </c>
      <c r="F18" s="68"/>
      <c r="G18" s="64" t="s">
        <v>8</v>
      </c>
      <c r="H18" s="68"/>
      <c r="I18" s="62"/>
    </row>
    <row r="19" spans="1:11">
      <c r="A19" s="61" t="s">
        <v>28</v>
      </c>
      <c r="E19" s="64"/>
      <c r="F19" s="75"/>
      <c r="G19" s="64"/>
      <c r="H19" s="75"/>
    </row>
    <row r="20" spans="1:11" ht="15" customHeight="1">
      <c r="A20" s="62" t="s">
        <v>29</v>
      </c>
      <c r="C20" s="71"/>
      <c r="E20" s="64" t="s">
        <v>8</v>
      </c>
      <c r="F20" s="65"/>
      <c r="G20" s="64" t="s">
        <v>8</v>
      </c>
      <c r="H20" s="65"/>
    </row>
    <row r="21" spans="1:11" ht="19.5" customHeight="1">
      <c r="A21" s="62" t="s">
        <v>30</v>
      </c>
      <c r="C21" s="72" t="s">
        <v>70</v>
      </c>
      <c r="E21" s="64" t="s">
        <v>8</v>
      </c>
      <c r="F21" s="65"/>
      <c r="G21" s="64" t="s">
        <v>8</v>
      </c>
      <c r="H21" s="65">
        <v>600</v>
      </c>
      <c r="K21" s="72" t="s">
        <v>71</v>
      </c>
    </row>
    <row r="22" spans="1:11" ht="19.5" customHeight="1">
      <c r="A22" s="62" t="s">
        <v>31</v>
      </c>
      <c r="C22" s="72" t="s">
        <v>94</v>
      </c>
      <c r="E22" s="64" t="s">
        <v>8</v>
      </c>
      <c r="F22" s="65"/>
      <c r="G22" s="64" t="s">
        <v>8</v>
      </c>
      <c r="H22" s="65">
        <v>165</v>
      </c>
      <c r="I22" s="62"/>
      <c r="K22" s="72" t="s">
        <v>72</v>
      </c>
    </row>
    <row r="23" spans="1:11" ht="18.75" customHeight="1">
      <c r="A23" s="62" t="s">
        <v>32</v>
      </c>
      <c r="C23" s="72" t="s">
        <v>73</v>
      </c>
      <c r="E23" s="64" t="s">
        <v>8</v>
      </c>
      <c r="F23" s="65"/>
      <c r="G23" s="64" t="s">
        <v>8</v>
      </c>
      <c r="H23" s="65">
        <v>65</v>
      </c>
      <c r="I23" s="99"/>
      <c r="J23" s="62"/>
      <c r="K23" s="64"/>
    </row>
    <row r="24" spans="1:11" ht="18.75" customHeight="1">
      <c r="A24" s="62" t="s">
        <v>33</v>
      </c>
      <c r="C24" s="72" t="s">
        <v>74</v>
      </c>
      <c r="E24" s="64"/>
      <c r="F24" s="65"/>
      <c r="G24" s="64"/>
      <c r="H24" s="65">
        <v>10</v>
      </c>
      <c r="I24" s="99"/>
      <c r="J24" s="62"/>
    </row>
    <row r="25" spans="1:11" ht="18" customHeight="1">
      <c r="A25" s="62" t="s">
        <v>34</v>
      </c>
      <c r="B25" s="76"/>
      <c r="C25" s="77"/>
      <c r="D25" s="78"/>
      <c r="E25" s="64" t="s">
        <v>8</v>
      </c>
      <c r="F25" s="65"/>
      <c r="G25" s="64" t="s">
        <v>8</v>
      </c>
      <c r="H25" s="65"/>
      <c r="I25" s="62"/>
    </row>
    <row r="26" spans="1:11" ht="15.75" customHeight="1">
      <c r="A26" s="62" t="s">
        <v>35</v>
      </c>
      <c r="C26" s="79"/>
      <c r="D26" s="62"/>
      <c r="E26" s="64" t="s">
        <v>8</v>
      </c>
      <c r="F26" s="65"/>
      <c r="G26" s="64" t="s">
        <v>8</v>
      </c>
      <c r="H26" s="65"/>
      <c r="I26" s="62"/>
    </row>
    <row r="27" spans="1:11">
      <c r="A27" s="61" t="s">
        <v>36</v>
      </c>
      <c r="E27" s="64"/>
      <c r="F27" s="75"/>
      <c r="G27" s="64"/>
      <c r="H27" s="75"/>
    </row>
    <row r="28" spans="1:11" ht="15" customHeight="1">
      <c r="A28" s="62" t="s">
        <v>37</v>
      </c>
      <c r="E28" s="64"/>
      <c r="F28" s="75"/>
      <c r="G28" s="64"/>
      <c r="H28" s="75"/>
    </row>
    <row r="29" spans="1:11" ht="15" customHeight="1">
      <c r="A29" s="63" t="s">
        <v>38</v>
      </c>
      <c r="B29" s="63" t="s">
        <v>39</v>
      </c>
      <c r="C29" s="73" t="s">
        <v>40</v>
      </c>
      <c r="E29" s="64" t="s">
        <v>8</v>
      </c>
      <c r="F29" s="80"/>
      <c r="G29" s="64" t="s">
        <v>8</v>
      </c>
      <c r="H29" s="80"/>
      <c r="I29" s="99"/>
      <c r="J29" s="62"/>
    </row>
    <row r="30" spans="1:11" ht="16.5" customHeight="1">
      <c r="A30" s="62" t="s">
        <v>41</v>
      </c>
      <c r="E30" s="64" t="s">
        <v>8</v>
      </c>
      <c r="F30" s="80"/>
      <c r="G30" s="64" t="s">
        <v>8</v>
      </c>
      <c r="H30" s="80"/>
    </row>
    <row r="31" spans="1:11" ht="15" hidden="1" customHeight="1">
      <c r="A31" s="62" t="s">
        <v>42</v>
      </c>
      <c r="C31" s="81"/>
      <c r="D31" s="62"/>
      <c r="E31" s="64" t="s">
        <v>8</v>
      </c>
      <c r="F31" s="80"/>
      <c r="G31" s="64" t="s">
        <v>8</v>
      </c>
      <c r="H31" s="80"/>
      <c r="I31" s="62"/>
    </row>
    <row r="32" spans="1:11" ht="15" customHeight="1">
      <c r="A32" s="62" t="s">
        <v>43</v>
      </c>
      <c r="C32" s="81"/>
      <c r="D32" s="62"/>
      <c r="E32" s="64" t="s">
        <v>8</v>
      </c>
      <c r="F32" s="80"/>
      <c r="G32" s="64" t="s">
        <v>8</v>
      </c>
      <c r="H32" s="80"/>
      <c r="I32" s="62"/>
    </row>
    <row r="33" spans="1:13" ht="15" hidden="1" customHeight="1">
      <c r="A33" s="62" t="s">
        <v>44</v>
      </c>
      <c r="C33" s="81"/>
      <c r="E33" s="64" t="s">
        <v>8</v>
      </c>
      <c r="F33" s="80"/>
      <c r="G33" s="64" t="s">
        <v>8</v>
      </c>
      <c r="H33" s="80"/>
      <c r="I33" s="99"/>
      <c r="J33" s="62"/>
    </row>
    <row r="34" spans="1:13" ht="15" customHeight="1">
      <c r="A34" s="62" t="s">
        <v>45</v>
      </c>
      <c r="C34" s="81"/>
      <c r="E34" s="64" t="s">
        <v>8</v>
      </c>
      <c r="F34" s="68"/>
      <c r="G34" s="64" t="s">
        <v>8</v>
      </c>
      <c r="H34" s="68"/>
      <c r="I34" s="99"/>
      <c r="J34" s="62"/>
      <c r="M34" s="100"/>
    </row>
    <row r="35" spans="1:13" ht="15" customHeight="1">
      <c r="A35" s="62" t="s">
        <v>46</v>
      </c>
      <c r="E35" s="64"/>
      <c r="F35" s="82"/>
      <c r="G35" s="64"/>
      <c r="H35" s="82"/>
      <c r="K35" s="101"/>
      <c r="L35" s="100"/>
      <c r="M35" s="101"/>
    </row>
    <row r="36" spans="1:13" ht="15" customHeight="1">
      <c r="A36" s="62" t="s">
        <v>48</v>
      </c>
      <c r="C36" s="71"/>
      <c r="E36" s="64" t="s">
        <v>8</v>
      </c>
      <c r="F36" s="65"/>
      <c r="G36" s="64" t="s">
        <v>8</v>
      </c>
      <c r="H36" s="65"/>
      <c r="K36" s="101"/>
      <c r="L36" s="100"/>
    </row>
    <row r="37" spans="1:13" ht="15" customHeight="1">
      <c r="A37" s="62" t="s">
        <v>49</v>
      </c>
      <c r="C37" s="83"/>
      <c r="E37" s="64" t="s">
        <v>8</v>
      </c>
      <c r="F37" s="84"/>
      <c r="G37" s="64" t="s">
        <v>8</v>
      </c>
      <c r="H37" s="84"/>
    </row>
    <row r="38" spans="1:13" ht="15" customHeight="1">
      <c r="A38" s="62" t="s">
        <v>75</v>
      </c>
      <c r="B38" s="143"/>
      <c r="C38" s="143"/>
      <c r="D38" s="62"/>
      <c r="E38" s="64" t="s">
        <v>8</v>
      </c>
      <c r="F38" s="65"/>
      <c r="G38" s="64" t="s">
        <v>8</v>
      </c>
      <c r="H38" s="65"/>
      <c r="I38" s="62"/>
    </row>
    <row r="39" spans="1:13" ht="15" customHeight="1">
      <c r="A39" s="85" t="s">
        <v>65</v>
      </c>
      <c r="C39" s="86">
        <v>650</v>
      </c>
      <c r="E39" s="64" t="s">
        <v>8</v>
      </c>
      <c r="F39" s="65"/>
      <c r="G39" s="64" t="s">
        <v>8</v>
      </c>
      <c r="H39" s="65">
        <v>650</v>
      </c>
      <c r="J39" s="101"/>
    </row>
    <row r="40" spans="1:13" ht="15" customHeight="1">
      <c r="A40" s="87"/>
      <c r="C40" s="86"/>
      <c r="E40" s="64" t="s">
        <v>8</v>
      </c>
      <c r="F40" s="65"/>
      <c r="G40" s="64" t="s">
        <v>8</v>
      </c>
      <c r="H40" s="65"/>
      <c r="J40" s="101"/>
    </row>
    <row r="41" spans="1:13" ht="15" customHeight="1">
      <c r="A41" s="87"/>
      <c r="B41" s="88"/>
      <c r="C41" s="86"/>
      <c r="D41" s="88"/>
      <c r="E41" s="64"/>
      <c r="F41" s="65"/>
      <c r="G41" s="89"/>
      <c r="H41" s="65"/>
      <c r="J41" s="101"/>
    </row>
    <row r="42" spans="1:13" ht="15" customHeight="1">
      <c r="A42" s="90"/>
      <c r="B42" s="88"/>
      <c r="C42" s="86"/>
      <c r="D42" s="88"/>
      <c r="E42" s="64"/>
      <c r="F42" s="65"/>
      <c r="G42" s="89"/>
      <c r="H42" s="65"/>
      <c r="J42" s="101"/>
    </row>
    <row r="43" spans="1:13" ht="15" customHeight="1">
      <c r="A43" s="91"/>
      <c r="B43" s="88"/>
      <c r="C43" s="92"/>
      <c r="D43" s="88"/>
      <c r="E43" s="89"/>
      <c r="F43" s="65"/>
      <c r="G43" s="89"/>
      <c r="H43" s="65"/>
      <c r="J43" s="101"/>
    </row>
    <row r="44" spans="1:13" ht="21.75" customHeight="1">
      <c r="B44" s="93" t="s">
        <v>76</v>
      </c>
      <c r="E44" s="89" t="s">
        <v>8</v>
      </c>
      <c r="F44" s="94">
        <f>SUM(F6:F42)</f>
        <v>9000</v>
      </c>
      <c r="G44" s="89" t="s">
        <v>8</v>
      </c>
      <c r="H44" s="94">
        <f>SUM(H6:H42)</f>
        <v>15490</v>
      </c>
      <c r="I44" s="102"/>
      <c r="J44" s="101"/>
    </row>
    <row r="45" spans="1:13">
      <c r="B45" s="88" t="s">
        <v>77</v>
      </c>
      <c r="E45" s="89" t="s">
        <v>8</v>
      </c>
      <c r="F45" s="145">
        <f>SUM(F44+H44)</f>
        <v>24490</v>
      </c>
      <c r="G45" s="145"/>
      <c r="H45" s="145"/>
      <c r="J45" s="100"/>
    </row>
    <row r="46" spans="1:13">
      <c r="J46" s="101"/>
      <c r="M46" s="100"/>
    </row>
    <row r="47" spans="1:13">
      <c r="H47" s="95"/>
    </row>
    <row r="49" spans="1:8">
      <c r="A49" s="57" t="s">
        <v>53</v>
      </c>
      <c r="C49" s="146" t="s">
        <v>54</v>
      </c>
      <c r="D49" s="146"/>
      <c r="E49" s="146"/>
      <c r="F49" s="146"/>
    </row>
    <row r="50" spans="1:8">
      <c r="A50" s="57" t="s">
        <v>55</v>
      </c>
      <c r="D50" s="59"/>
      <c r="E50" s="59"/>
      <c r="F50" s="59"/>
      <c r="G50" s="59"/>
    </row>
    <row r="51" spans="1:8">
      <c r="A51" s="57" t="s">
        <v>56</v>
      </c>
      <c r="D51" s="147" t="s">
        <v>57</v>
      </c>
      <c r="E51" s="147"/>
      <c r="F51" s="147"/>
      <c r="G51" s="147"/>
      <c r="H51" s="147"/>
    </row>
    <row r="52" spans="1:8">
      <c r="C52" s="148" t="s">
        <v>78</v>
      </c>
      <c r="D52" s="148"/>
      <c r="E52" s="148"/>
      <c r="F52" s="148"/>
      <c r="G52" s="148"/>
      <c r="H52" s="148"/>
    </row>
  </sheetData>
  <mergeCells count="10"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ageMargins left="0.75" right="0.75" top="0.75" bottom="0.5" header="0.12" footer="0.33"/>
  <pageSetup paperSize="256" scale="77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7EB-859B-4D2C-8802-ADD3493E2C0D}">
  <dimension ref="A1:N49"/>
  <sheetViews>
    <sheetView tabSelected="1" view="pageBreakPreview" topLeftCell="A13" zoomScale="140" zoomScaleNormal="140" workbookViewId="0">
      <selection activeCell="F21" sqref="F21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143</v>
      </c>
      <c r="B4" s="5"/>
      <c r="C4" s="5"/>
      <c r="D4" s="5"/>
      <c r="F4" s="6" t="s">
        <v>84</v>
      </c>
      <c r="G4" s="7"/>
    </row>
    <row r="5" spans="1:14" ht="15.75">
      <c r="A5" s="8" t="s">
        <v>4</v>
      </c>
      <c r="F5" s="114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50"/>
      <c r="C16" s="150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8" ht="15" customHeight="1">
      <c r="A22" s="9" t="s">
        <v>31</v>
      </c>
      <c r="C22" s="28"/>
      <c r="E22" s="11"/>
      <c r="F22" s="12"/>
      <c r="G22" s="9"/>
    </row>
    <row r="23" spans="1:8" ht="15" customHeight="1">
      <c r="A23" s="9" t="s">
        <v>32</v>
      </c>
      <c r="C23" s="28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28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110</v>
      </c>
      <c r="B38" s="149" t="s">
        <v>144</v>
      </c>
      <c r="C38" s="125"/>
      <c r="D38" s="9"/>
      <c r="E38" s="11" t="s">
        <v>8</v>
      </c>
      <c r="F38" s="12">
        <v>60.77</v>
      </c>
      <c r="G38" s="9" t="s">
        <v>64</v>
      </c>
    </row>
    <row r="39" spans="1:11" ht="15" customHeight="1">
      <c r="A39" s="38" t="s">
        <v>65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60.77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10"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view="pageBreakPreview" topLeftCell="A7" zoomScale="140" zoomScaleNormal="140" workbookViewId="0">
      <selection activeCell="F19" sqref="F19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139</v>
      </c>
      <c r="B4" s="5"/>
      <c r="C4" s="5"/>
      <c r="D4" s="5"/>
      <c r="F4" s="6" t="s">
        <v>84</v>
      </c>
      <c r="G4" s="7"/>
    </row>
    <row r="5" spans="1:14" ht="15.75">
      <c r="A5" s="8" t="s">
        <v>4</v>
      </c>
      <c r="F5" s="114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39" t="s">
        <v>138</v>
      </c>
      <c r="C16" s="149"/>
      <c r="E16" s="11" t="s">
        <v>8</v>
      </c>
      <c r="F16" s="16">
        <v>12000</v>
      </c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/>
      <c r="E21" s="11" t="s">
        <v>8</v>
      </c>
      <c r="F21" s="12"/>
      <c r="H21" s="1" t="s">
        <v>140</v>
      </c>
    </row>
    <row r="22" spans="1:8" ht="15" customHeight="1">
      <c r="A22" s="9" t="s">
        <v>31</v>
      </c>
      <c r="C22" s="28"/>
      <c r="E22" s="11"/>
      <c r="F22" s="12"/>
      <c r="G22" s="9"/>
    </row>
    <row r="23" spans="1:8" ht="15" customHeight="1">
      <c r="A23" s="9" t="s">
        <v>32</v>
      </c>
      <c r="C23" s="28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28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12000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10">
    <mergeCell ref="D48:F48"/>
    <mergeCell ref="D49:F49"/>
    <mergeCell ref="A2:F2"/>
    <mergeCell ref="D3:E3"/>
    <mergeCell ref="H10:N10"/>
    <mergeCell ref="B12:C12"/>
    <mergeCell ref="B13:D13"/>
    <mergeCell ref="B26:C26"/>
    <mergeCell ref="B38:C38"/>
    <mergeCell ref="B16:C16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1ED7-356E-45A7-9458-D517EEF5020E}">
  <dimension ref="A1:N49"/>
  <sheetViews>
    <sheetView view="pageBreakPreview" topLeftCell="A28" zoomScale="140" zoomScaleNormal="140" workbookViewId="0">
      <selection activeCell="F41" sqref="F41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>
      <c r="A4" s="117" t="s">
        <v>125</v>
      </c>
      <c r="B4" s="5"/>
      <c r="C4" s="5"/>
      <c r="D4" s="5"/>
      <c r="F4" s="6" t="s">
        <v>84</v>
      </c>
      <c r="G4" s="7"/>
    </row>
    <row r="5" spans="1:14" ht="15.75">
      <c r="A5" s="8" t="s">
        <v>4</v>
      </c>
      <c r="F5" s="114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B11" s="152" t="s">
        <v>126</v>
      </c>
      <c r="C11" s="152"/>
      <c r="E11" s="11" t="s">
        <v>8</v>
      </c>
      <c r="F11" s="14">
        <v>4000</v>
      </c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50"/>
      <c r="C16" s="150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8" ht="15" customHeight="1">
      <c r="A22" s="9" t="s">
        <v>31</v>
      </c>
      <c r="C22" s="28"/>
      <c r="E22" s="11"/>
      <c r="F22" s="12"/>
      <c r="G22" s="9"/>
    </row>
    <row r="23" spans="1:8" ht="15" customHeight="1">
      <c r="A23" s="9" t="s">
        <v>32</v>
      </c>
      <c r="C23" s="28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28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4000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11">
    <mergeCell ref="B26:C26"/>
    <mergeCell ref="B38:C38"/>
    <mergeCell ref="D48:F48"/>
    <mergeCell ref="D49:F49"/>
    <mergeCell ref="B11:C11"/>
    <mergeCell ref="B16:C16"/>
    <mergeCell ref="A2:F2"/>
    <mergeCell ref="D3:E3"/>
    <mergeCell ref="H10:N10"/>
    <mergeCell ref="B12:C12"/>
    <mergeCell ref="B13:D13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689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0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1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2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3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4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5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6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7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8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99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00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01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E9E5-6A82-4696-9212-44FCEACB006D}">
  <dimension ref="A1:N49"/>
  <sheetViews>
    <sheetView view="pageBreakPreview" zoomScale="140" zoomScaleNormal="140" workbookViewId="0">
      <selection activeCell="F38" sqref="F38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>
      <c r="A4" s="117" t="s">
        <v>120</v>
      </c>
      <c r="B4" s="5"/>
      <c r="C4" s="5"/>
      <c r="D4" s="5"/>
      <c r="F4" s="6" t="s">
        <v>84</v>
      </c>
      <c r="G4" s="7"/>
    </row>
    <row r="5" spans="1:14" ht="15.75">
      <c r="A5" s="8" t="s">
        <v>4</v>
      </c>
      <c r="F5" s="114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50" t="s">
        <v>132</v>
      </c>
      <c r="C16" s="150"/>
      <c r="E16" s="11" t="s">
        <v>8</v>
      </c>
      <c r="F16" s="16">
        <v>6000</v>
      </c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8" ht="15" customHeight="1">
      <c r="A22" s="9" t="s">
        <v>31</v>
      </c>
      <c r="C22" s="28"/>
      <c r="E22" s="11"/>
      <c r="F22" s="12"/>
      <c r="G22" s="9"/>
    </row>
    <row r="23" spans="1:8" ht="15" customHeight="1">
      <c r="A23" s="9" t="s">
        <v>32</v>
      </c>
      <c r="C23" s="28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28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6000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10"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993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9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95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9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97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98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999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00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01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02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03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04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5005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0F17-5D4C-44BB-BBC4-D4081683651E}">
  <dimension ref="A1:N49"/>
  <sheetViews>
    <sheetView view="pageBreakPreview" topLeftCell="A7" zoomScale="140" zoomScaleNormal="140" workbookViewId="0">
      <selection activeCell="G40" sqref="G40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121</v>
      </c>
      <c r="B4" s="5"/>
      <c r="C4" s="5"/>
      <c r="D4" s="5"/>
      <c r="F4" s="6" t="s">
        <v>3</v>
      </c>
      <c r="G4" s="7"/>
    </row>
    <row r="5" spans="1:14" ht="15.75">
      <c r="A5" s="8" t="s">
        <v>4</v>
      </c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22000</v>
      </c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24"/>
      <c r="C16" s="124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 t="s">
        <v>122</v>
      </c>
      <c r="E21" s="11" t="s">
        <v>8</v>
      </c>
      <c r="F21" s="12">
        <v>1500</v>
      </c>
      <c r="H21" s="1">
        <f>F21+F22+F23+F24+F40</f>
        <v>5150</v>
      </c>
    </row>
    <row r="22" spans="1:8" ht="15" customHeight="1">
      <c r="A22" s="9" t="s">
        <v>31</v>
      </c>
      <c r="C22" s="28" t="s">
        <v>122</v>
      </c>
      <c r="E22" s="11"/>
      <c r="F22" s="12">
        <v>1500</v>
      </c>
      <c r="G22" s="9"/>
    </row>
    <row r="23" spans="1:8" ht="15" customHeight="1">
      <c r="A23" s="9" t="s">
        <v>32</v>
      </c>
      <c r="C23" s="28" t="s">
        <v>123</v>
      </c>
      <c r="E23" s="11" t="s">
        <v>8</v>
      </c>
      <c r="F23" s="12">
        <v>1300</v>
      </c>
      <c r="G23" s="17"/>
      <c r="H23" s="9"/>
    </row>
    <row r="24" spans="1:8" ht="15" customHeight="1">
      <c r="A24" s="9" t="s">
        <v>33</v>
      </c>
      <c r="C24" s="28" t="s">
        <v>124</v>
      </c>
      <c r="E24" s="11"/>
      <c r="F24" s="12">
        <v>200</v>
      </c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>
        <v>2000</v>
      </c>
      <c r="E39" s="11" t="s">
        <v>8</v>
      </c>
      <c r="F39" s="12">
        <v>2000</v>
      </c>
      <c r="H39" s="40"/>
    </row>
    <row r="40" spans="1:11" ht="15" customHeight="1">
      <c r="A40" s="41"/>
      <c r="C40" s="39">
        <v>650</v>
      </c>
      <c r="E40" s="11"/>
      <c r="F40" s="12">
        <v>650</v>
      </c>
      <c r="H40" s="40"/>
    </row>
    <row r="41" spans="1:11" ht="15" customHeight="1">
      <c r="A41" s="41"/>
      <c r="B41" s="42"/>
      <c r="C41" s="43">
        <v>2000</v>
      </c>
      <c r="D41" s="42"/>
      <c r="E41" s="44"/>
      <c r="F41" s="12">
        <v>2000</v>
      </c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31150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10">
    <mergeCell ref="D48:F48"/>
    <mergeCell ref="D49:F49"/>
    <mergeCell ref="A2:F2"/>
    <mergeCell ref="D3:E3"/>
    <mergeCell ref="H10:N10"/>
    <mergeCell ref="B12:C12"/>
    <mergeCell ref="B13:D13"/>
    <mergeCell ref="B26:C26"/>
    <mergeCell ref="B38:C38"/>
    <mergeCell ref="B16:C16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61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3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5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6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7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8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9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70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71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72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73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view="pageBreakPreview" zoomScale="140" zoomScaleNormal="140" workbookViewId="0">
      <selection activeCell="C40" sqref="C40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137</v>
      </c>
      <c r="B4" s="5"/>
      <c r="C4" s="5"/>
      <c r="D4" s="5"/>
      <c r="F4" s="6" t="s">
        <v>3</v>
      </c>
      <c r="G4" s="7"/>
    </row>
    <row r="5" spans="1:14" ht="15.75">
      <c r="A5" s="8" t="s">
        <v>4</v>
      </c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>
        <v>600</v>
      </c>
      <c r="G15" s="119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105"/>
      <c r="E21" s="11" t="s">
        <v>8</v>
      </c>
      <c r="F21" s="12"/>
      <c r="H21" s="1">
        <f>F21+F22+F23+F24+F40</f>
        <v>0</v>
      </c>
    </row>
    <row r="22" spans="1:8" ht="15" customHeight="1">
      <c r="A22" s="9" t="s">
        <v>31</v>
      </c>
      <c r="C22" s="105"/>
      <c r="E22" s="11"/>
      <c r="F22" s="12"/>
      <c r="G22" s="9"/>
    </row>
    <row r="23" spans="1:8" ht="15" customHeight="1">
      <c r="A23" s="9" t="s">
        <v>32</v>
      </c>
      <c r="C23" s="105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105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600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9">
    <mergeCell ref="D48:F48"/>
    <mergeCell ref="D49:F49"/>
    <mergeCell ref="A2:F2"/>
    <mergeCell ref="D3:E3"/>
    <mergeCell ref="H10:N10"/>
    <mergeCell ref="B12:C12"/>
    <mergeCell ref="B13:D13"/>
    <mergeCell ref="B26:C26"/>
    <mergeCell ref="B38:C38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9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0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1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2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3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4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5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6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7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4802-6D72-47A2-807E-C29EB4E5C9C6}">
  <dimension ref="A1:N49"/>
  <sheetViews>
    <sheetView view="pageBreakPreview" topLeftCell="A19" zoomScale="140" zoomScaleNormal="140" workbookViewId="0">
      <selection activeCell="I29" sqref="I29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>
      <c r="A4" s="116" t="s">
        <v>136</v>
      </c>
      <c r="B4" s="5"/>
      <c r="C4" s="5"/>
      <c r="D4" s="5"/>
      <c r="F4" s="6" t="s">
        <v>3</v>
      </c>
      <c r="G4" s="7"/>
    </row>
    <row r="5" spans="1:14" ht="15.75">
      <c r="A5" s="8" t="s">
        <v>4</v>
      </c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14000</v>
      </c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 t="s">
        <v>67</v>
      </c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28" t="s">
        <v>91</v>
      </c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G15" s="122" t="s">
        <v>67</v>
      </c>
      <c r="I15" s="53"/>
      <c r="J15" s="53"/>
      <c r="K15" s="28" t="s">
        <v>91</v>
      </c>
      <c r="L15" s="53"/>
      <c r="M15" s="53"/>
      <c r="N15" s="53"/>
    </row>
    <row r="16" spans="1:14" ht="15" customHeight="1">
      <c r="A16" s="9" t="s">
        <v>25</v>
      </c>
      <c r="E16" s="11" t="s">
        <v>8</v>
      </c>
      <c r="F16" s="16"/>
      <c r="K16" s="28" t="s">
        <v>134</v>
      </c>
    </row>
    <row r="17" spans="1:11" ht="15" customHeight="1">
      <c r="A17" s="9" t="s">
        <v>26</v>
      </c>
      <c r="C17" s="24"/>
      <c r="D17" s="9"/>
      <c r="E17" s="11" t="s">
        <v>8</v>
      </c>
      <c r="F17" s="16"/>
      <c r="G17" s="9"/>
      <c r="H17" s="11"/>
      <c r="K17" s="28" t="s">
        <v>135</v>
      </c>
    </row>
    <row r="18" spans="1:11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1" ht="15.75">
      <c r="A19" s="8" t="s">
        <v>28</v>
      </c>
      <c r="E19" s="11"/>
      <c r="F19" s="27"/>
    </row>
    <row r="20" spans="1:11" ht="15" customHeight="1">
      <c r="A20" s="9" t="s">
        <v>29</v>
      </c>
      <c r="C20" s="22"/>
      <c r="E20" s="11" t="s">
        <v>8</v>
      </c>
      <c r="F20" s="12"/>
    </row>
    <row r="21" spans="1:11" ht="15" customHeight="1">
      <c r="A21" s="9" t="s">
        <v>30</v>
      </c>
      <c r="C21" s="28" t="s">
        <v>91</v>
      </c>
      <c r="E21" s="11" t="s">
        <v>8</v>
      </c>
      <c r="F21" s="12">
        <v>750</v>
      </c>
      <c r="H21" s="1">
        <f>F21+F22+F23+F24+F40</f>
        <v>4400</v>
      </c>
    </row>
    <row r="22" spans="1:11" ht="15" customHeight="1">
      <c r="A22" s="9" t="s">
        <v>31</v>
      </c>
      <c r="C22" s="28" t="s">
        <v>91</v>
      </c>
      <c r="E22" s="11"/>
      <c r="F22" s="12">
        <v>750</v>
      </c>
      <c r="G22" s="9"/>
    </row>
    <row r="23" spans="1:11" ht="15" customHeight="1">
      <c r="A23" s="9" t="s">
        <v>32</v>
      </c>
      <c r="C23" s="28" t="s">
        <v>134</v>
      </c>
      <c r="E23" s="11"/>
      <c r="F23" s="12">
        <v>780</v>
      </c>
      <c r="G23" s="17"/>
      <c r="H23" s="9"/>
    </row>
    <row r="24" spans="1:11" ht="15" customHeight="1">
      <c r="A24" s="9" t="s">
        <v>33</v>
      </c>
      <c r="C24" s="28" t="s">
        <v>135</v>
      </c>
      <c r="E24" s="11"/>
      <c r="F24" s="12">
        <v>120</v>
      </c>
      <c r="G24" s="17"/>
      <c r="H24" s="9"/>
    </row>
    <row r="25" spans="1:11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1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1" ht="18.75" customHeight="1">
      <c r="A30" s="9" t="s">
        <v>41</v>
      </c>
      <c r="E30" s="11" t="s">
        <v>8</v>
      </c>
      <c r="F30" s="33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>
        <v>9375</v>
      </c>
      <c r="E39" s="11" t="s">
        <v>8</v>
      </c>
      <c r="F39" s="12">
        <v>9375</v>
      </c>
      <c r="H39" s="40"/>
    </row>
    <row r="40" spans="1:11" ht="15" customHeight="1">
      <c r="A40" s="41"/>
      <c r="C40" s="39">
        <v>2000</v>
      </c>
      <c r="E40" s="11"/>
      <c r="F40" s="12">
        <v>2000</v>
      </c>
      <c r="H40" s="40"/>
    </row>
    <row r="41" spans="1:11" ht="15" customHeight="1">
      <c r="A41" s="41"/>
      <c r="B41" s="42"/>
      <c r="C41" s="43">
        <v>2000</v>
      </c>
      <c r="D41" s="42"/>
      <c r="E41" s="44"/>
      <c r="F41" s="12">
        <v>2000</v>
      </c>
      <c r="H41" s="40"/>
    </row>
    <row r="42" spans="1:11" ht="15" customHeight="1">
      <c r="A42" s="45"/>
      <c r="B42" s="42"/>
      <c r="C42" s="43">
        <v>5000</v>
      </c>
      <c r="D42" s="42"/>
      <c r="E42" s="44"/>
      <c r="F42" s="12">
        <v>5000</v>
      </c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34775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9">
    <mergeCell ref="D48:F48"/>
    <mergeCell ref="D49:F49"/>
    <mergeCell ref="A2:F2"/>
    <mergeCell ref="D3:E3"/>
    <mergeCell ref="H10:N10"/>
    <mergeCell ref="B12:C12"/>
    <mergeCell ref="B13:D13"/>
    <mergeCell ref="B26:C26"/>
    <mergeCell ref="B38:C38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7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8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9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0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1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2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3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4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5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6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7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8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9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97EA-A216-429E-ADCF-11B116C9D05F}">
  <dimension ref="A1:N49"/>
  <sheetViews>
    <sheetView view="pageBreakPreview" zoomScale="140" zoomScaleNormal="140" workbookViewId="0">
      <selection activeCell="F30" sqref="F30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>
      <c r="A4" s="116" t="s">
        <v>116</v>
      </c>
      <c r="B4" s="5"/>
      <c r="C4" s="5"/>
      <c r="D4" s="5"/>
      <c r="F4" s="6" t="s">
        <v>3</v>
      </c>
      <c r="G4" s="7"/>
    </row>
    <row r="5" spans="1:14" ht="15.75">
      <c r="A5" s="8" t="s">
        <v>4</v>
      </c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10000</v>
      </c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 t="s">
        <v>67</v>
      </c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2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 t="s">
        <v>113</v>
      </c>
      <c r="E21" s="11" t="s">
        <v>8</v>
      </c>
      <c r="F21" s="103">
        <v>2065.5</v>
      </c>
      <c r="H21" s="1">
        <f>F21+F22+F23+F24+F40</f>
        <v>11006</v>
      </c>
    </row>
    <row r="22" spans="1:8" ht="15" customHeight="1">
      <c r="A22" s="9" t="s">
        <v>31</v>
      </c>
      <c r="C22" s="28" t="s">
        <v>113</v>
      </c>
      <c r="E22" s="11"/>
      <c r="F22" s="103">
        <v>2065.5</v>
      </c>
      <c r="G22" s="9"/>
    </row>
    <row r="23" spans="1:8" ht="15" customHeight="1">
      <c r="A23" s="9" t="s">
        <v>32</v>
      </c>
      <c r="C23" s="28" t="s">
        <v>114</v>
      </c>
      <c r="E23" s="11" t="s">
        <v>8</v>
      </c>
      <c r="F23" s="103">
        <v>1625</v>
      </c>
      <c r="G23" s="17"/>
      <c r="H23" s="9"/>
    </row>
    <row r="24" spans="1:8" ht="15" customHeight="1">
      <c r="A24" s="9" t="s">
        <v>33</v>
      </c>
      <c r="C24" s="28" t="s">
        <v>115</v>
      </c>
      <c r="E24" s="11"/>
      <c r="F24" s="103">
        <v>250</v>
      </c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8.7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>
        <v>650</v>
      </c>
      <c r="E39" s="11" t="s">
        <v>8</v>
      </c>
      <c r="F39" s="12">
        <v>650</v>
      </c>
      <c r="H39" s="40"/>
    </row>
    <row r="40" spans="1:11" ht="15" customHeight="1">
      <c r="A40" s="41"/>
      <c r="C40" s="39">
        <v>5000</v>
      </c>
      <c r="E40" s="11"/>
      <c r="F40" s="12">
        <v>5000</v>
      </c>
      <c r="H40" s="40"/>
    </row>
    <row r="41" spans="1:11" ht="15" customHeight="1">
      <c r="A41" s="41"/>
      <c r="B41" s="42"/>
      <c r="C41" s="43">
        <v>2000</v>
      </c>
      <c r="D41" s="42"/>
      <c r="E41" s="44"/>
      <c r="F41" s="12">
        <v>2000</v>
      </c>
      <c r="H41" s="40"/>
    </row>
    <row r="42" spans="1:11" ht="15" customHeight="1">
      <c r="A42" s="45"/>
      <c r="B42" s="42"/>
      <c r="C42" s="43">
        <v>5000</v>
      </c>
      <c r="D42" s="42"/>
      <c r="E42" s="44"/>
      <c r="F42" s="12">
        <v>5000</v>
      </c>
      <c r="H42" s="40"/>
    </row>
    <row r="43" spans="1:11" ht="15" customHeight="1">
      <c r="A43" s="46" t="s">
        <v>66</v>
      </c>
      <c r="B43" s="42"/>
      <c r="C43" s="43">
        <v>3000</v>
      </c>
      <c r="D43" s="42"/>
      <c r="E43" s="44"/>
      <c r="F43" s="12">
        <v>3000</v>
      </c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31656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9">
    <mergeCell ref="D48:F48"/>
    <mergeCell ref="D49:F49"/>
    <mergeCell ref="A2:F2"/>
    <mergeCell ref="D3:E3"/>
    <mergeCell ref="H10:N10"/>
    <mergeCell ref="B12:C12"/>
    <mergeCell ref="B13:D13"/>
    <mergeCell ref="B26:C26"/>
    <mergeCell ref="B38:C38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6801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3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5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6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7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8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09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10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11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12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813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0"/>
  <sheetViews>
    <sheetView view="pageBreakPreview" topLeftCell="A10" zoomScale="130" zoomScaleNormal="140" zoomScaleSheetLayoutView="130" workbookViewId="0">
      <selection activeCell="B37" sqref="B37:C37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17.7109375" style="1" customWidth="1"/>
    <col min="7" max="7" width="10.28515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11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>
      <c r="A4" s="121" t="s">
        <v>133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111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4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9000</v>
      </c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G15" s="55"/>
      <c r="I15" s="53"/>
      <c r="K15" s="53"/>
      <c r="L15" s="53"/>
      <c r="M15" s="53"/>
      <c r="N15" s="53"/>
    </row>
    <row r="16" spans="1:14" ht="15" customHeight="1">
      <c r="A16" s="9" t="s">
        <v>25</v>
      </c>
      <c r="B16" s="140"/>
      <c r="C16" s="140"/>
      <c r="D16" s="140"/>
      <c r="E16" s="11" t="s">
        <v>8</v>
      </c>
      <c r="F16" s="16"/>
      <c r="J16" s="11"/>
    </row>
    <row r="17" spans="1:11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1" ht="1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/>
    </row>
    <row r="19" spans="1:11" ht="15.75">
      <c r="A19" s="8" t="s">
        <v>28</v>
      </c>
      <c r="E19" s="11"/>
      <c r="F19" s="27"/>
      <c r="I19" s="28"/>
    </row>
    <row r="20" spans="1:11" ht="15" customHeight="1">
      <c r="A20" s="9" t="s">
        <v>29</v>
      </c>
      <c r="C20" s="22"/>
      <c r="E20" s="11" t="s">
        <v>8</v>
      </c>
      <c r="F20" s="12"/>
      <c r="I20" s="28"/>
    </row>
    <row r="21" spans="1:11" ht="15" customHeight="1">
      <c r="A21" s="9" t="s">
        <v>30</v>
      </c>
      <c r="B21" s="5"/>
      <c r="C21" s="28"/>
      <c r="E21" s="11"/>
      <c r="F21" s="12"/>
    </row>
    <row r="22" spans="1:11" ht="15" customHeight="1">
      <c r="A22" s="9" t="s">
        <v>31</v>
      </c>
      <c r="B22" s="5"/>
      <c r="C22" s="28"/>
      <c r="E22" s="11"/>
      <c r="F22" s="12"/>
      <c r="G22" s="9"/>
    </row>
    <row r="23" spans="1:11" ht="15" customHeight="1">
      <c r="A23" s="9" t="s">
        <v>32</v>
      </c>
      <c r="B23" s="5"/>
      <c r="C23" s="28"/>
      <c r="E23" s="11"/>
      <c r="F23" s="12"/>
      <c r="G23" s="17"/>
      <c r="H23" s="9"/>
    </row>
    <row r="24" spans="1:11" ht="13.5" customHeight="1">
      <c r="A24" s="9" t="s">
        <v>33</v>
      </c>
      <c r="B24" s="5"/>
      <c r="C24" s="28"/>
      <c r="E24" s="11"/>
      <c r="F24" s="12"/>
      <c r="G24" s="17"/>
      <c r="H24" s="9"/>
    </row>
    <row r="25" spans="1:11" ht="10.5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G34" s="1" t="s">
        <v>67</v>
      </c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>
        <v>2500</v>
      </c>
      <c r="E38" s="11" t="s">
        <v>8</v>
      </c>
      <c r="F38" s="39">
        <v>2500</v>
      </c>
      <c r="H38" s="40"/>
      <c r="I38" s="135"/>
      <c r="J38" s="135"/>
      <c r="K38" s="135"/>
    </row>
    <row r="39" spans="1:11" ht="15" customHeight="1">
      <c r="A39" s="41"/>
      <c r="C39" s="39"/>
      <c r="E39" s="11" t="s">
        <v>8</v>
      </c>
      <c r="F39" s="39"/>
      <c r="H39" s="40"/>
      <c r="I39" s="135"/>
      <c r="J39" s="135"/>
      <c r="K39" s="135"/>
    </row>
    <row r="40" spans="1:11" ht="15" customHeight="1">
      <c r="A40" s="41"/>
      <c r="B40" s="42"/>
      <c r="C40" s="43"/>
      <c r="D40" s="42"/>
      <c r="E40" s="11" t="s">
        <v>8</v>
      </c>
      <c r="F40" s="43"/>
      <c r="H40" s="40"/>
    </row>
    <row r="41" spans="1:11" ht="15" customHeight="1">
      <c r="A41" s="45"/>
      <c r="B41" s="42"/>
      <c r="C41" s="43"/>
      <c r="D41" s="42"/>
      <c r="E41" s="11" t="s">
        <v>8</v>
      </c>
      <c r="F41" s="43"/>
      <c r="H41" s="40"/>
    </row>
    <row r="42" spans="1:11" ht="15" customHeight="1">
      <c r="A42" s="46" t="s">
        <v>66</v>
      </c>
      <c r="B42" s="42"/>
      <c r="C42" s="43"/>
      <c r="D42" s="42"/>
      <c r="E42" s="11" t="s">
        <v>8</v>
      </c>
      <c r="F42" s="12"/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SUM(F6:F44)</f>
        <v>11500</v>
      </c>
      <c r="G45" s="50" t="s">
        <v>67</v>
      </c>
      <c r="H45" s="40"/>
    </row>
    <row r="46" spans="1:11">
      <c r="H46" s="51"/>
    </row>
    <row r="47" spans="1:11">
      <c r="A47" s="1" t="s">
        <v>53</v>
      </c>
      <c r="C47" s="129" t="s">
        <v>54</v>
      </c>
      <c r="D47" s="129"/>
      <c r="E47" s="129"/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53" t="s">
        <v>57</v>
      </c>
      <c r="E49" s="153"/>
      <c r="F49" s="153"/>
      <c r="G49" s="153"/>
      <c r="K49" s="40"/>
    </row>
    <row r="50" spans="1:11">
      <c r="D50" s="154" t="s">
        <v>58</v>
      </c>
      <c r="E50" s="154"/>
      <c r="F50" s="154"/>
      <c r="G50" s="154"/>
    </row>
  </sheetData>
  <mergeCells count="13">
    <mergeCell ref="D49:G49"/>
    <mergeCell ref="D50:G50"/>
    <mergeCell ref="I32:K39"/>
    <mergeCell ref="B16:D16"/>
    <mergeCell ref="B25:C25"/>
    <mergeCell ref="B26:C26"/>
    <mergeCell ref="B37:C37"/>
    <mergeCell ref="C47:E47"/>
    <mergeCell ref="A2:F2"/>
    <mergeCell ref="D3:E3"/>
    <mergeCell ref="H10:N10"/>
    <mergeCell ref="B12:C12"/>
    <mergeCell ref="B13:C13"/>
  </mergeCells>
  <pageMargins left="0.75" right="0.75" top="0.75" bottom="0.5" header="0.12" footer="0.33"/>
  <pageSetup paperSize="256" scale="92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7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8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9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0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1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0"/>
  <sheetViews>
    <sheetView view="pageBreakPreview" topLeftCell="A4" zoomScale="140" zoomScaleNormal="140" workbookViewId="0">
      <selection activeCell="C21" sqref="C21:C24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17.7109375" style="1" customWidth="1"/>
    <col min="7" max="7" width="10.28515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11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128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111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G15" s="55"/>
      <c r="I15" s="53"/>
      <c r="K15" s="53"/>
      <c r="L15" s="53"/>
      <c r="M15" s="53"/>
      <c r="N15" s="53"/>
    </row>
    <row r="16" spans="1:14" ht="15" customHeight="1">
      <c r="A16" s="9" t="s">
        <v>25</v>
      </c>
      <c r="B16" s="140"/>
      <c r="C16" s="140"/>
      <c r="D16" s="140"/>
      <c r="E16" s="11" t="s">
        <v>8</v>
      </c>
      <c r="F16" s="16"/>
      <c r="J16" s="11"/>
    </row>
    <row r="17" spans="1:11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1" ht="1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/>
    </row>
    <row r="19" spans="1:11" ht="15.75">
      <c r="A19" s="8" t="s">
        <v>28</v>
      </c>
      <c r="E19" s="11"/>
      <c r="F19" s="27"/>
      <c r="I19" s="28" t="s">
        <v>71</v>
      </c>
    </row>
    <row r="20" spans="1:11" ht="15" customHeight="1">
      <c r="A20" s="9" t="s">
        <v>29</v>
      </c>
      <c r="C20" s="22"/>
      <c r="E20" s="11" t="s">
        <v>8</v>
      </c>
      <c r="F20" s="12"/>
      <c r="I20" s="28" t="s">
        <v>72</v>
      </c>
    </row>
    <row r="21" spans="1:11" ht="15" customHeight="1">
      <c r="A21" s="9" t="s">
        <v>30</v>
      </c>
      <c r="B21" s="5"/>
      <c r="C21" s="28" t="s">
        <v>90</v>
      </c>
      <c r="E21" s="11"/>
      <c r="F21" s="12">
        <v>2250</v>
      </c>
    </row>
    <row r="22" spans="1:11" ht="15" customHeight="1">
      <c r="A22" s="9" t="s">
        <v>31</v>
      </c>
      <c r="B22" s="5"/>
      <c r="C22" s="28" t="s">
        <v>90</v>
      </c>
      <c r="E22" s="11"/>
      <c r="F22" s="12">
        <v>2250</v>
      </c>
      <c r="G22" s="9"/>
      <c r="H22" s="1" t="s">
        <v>81</v>
      </c>
    </row>
    <row r="23" spans="1:11" ht="15" customHeight="1">
      <c r="A23" s="9" t="s">
        <v>32</v>
      </c>
      <c r="B23" s="5"/>
      <c r="C23" s="28" t="s">
        <v>129</v>
      </c>
      <c r="E23" s="11"/>
      <c r="F23" s="12">
        <v>2470</v>
      </c>
      <c r="G23" s="17"/>
      <c r="H23" s="9" t="s">
        <v>82</v>
      </c>
    </row>
    <row r="24" spans="1:11" ht="13.5" customHeight="1">
      <c r="A24" s="9" t="s">
        <v>33</v>
      </c>
      <c r="B24" s="5"/>
      <c r="C24" s="28" t="s">
        <v>130</v>
      </c>
      <c r="E24" s="11"/>
      <c r="F24" s="12">
        <v>380</v>
      </c>
      <c r="G24" s="17"/>
      <c r="H24" s="9"/>
      <c r="K24" s="1">
        <v>7500</v>
      </c>
    </row>
    <row r="25" spans="1:11" ht="10.5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>
        <v>5000</v>
      </c>
      <c r="E38" s="11" t="s">
        <v>8</v>
      </c>
      <c r="F38" s="12">
        <v>5000</v>
      </c>
      <c r="H38" s="40"/>
      <c r="I38" s="135"/>
      <c r="J38" s="135"/>
      <c r="K38" s="135"/>
    </row>
    <row r="39" spans="1:11" ht="15" customHeight="1">
      <c r="A39" s="41"/>
      <c r="C39" s="39">
        <v>2000</v>
      </c>
      <c r="E39" s="11" t="s">
        <v>8</v>
      </c>
      <c r="F39" s="12">
        <v>2000</v>
      </c>
      <c r="H39" s="40"/>
      <c r="I39" s="135"/>
      <c r="J39" s="135"/>
      <c r="K39" s="135"/>
    </row>
    <row r="40" spans="1:11" ht="15" customHeight="1">
      <c r="A40" s="41"/>
      <c r="B40" s="42"/>
      <c r="C40" s="43"/>
      <c r="D40" s="42"/>
      <c r="E40" s="11" t="s">
        <v>8</v>
      </c>
      <c r="F40" s="12"/>
      <c r="H40" s="40"/>
    </row>
    <row r="41" spans="1:11" ht="15" customHeight="1">
      <c r="A41" s="45"/>
      <c r="B41" s="42"/>
      <c r="C41" s="43"/>
      <c r="D41" s="42"/>
      <c r="E41" s="11" t="s">
        <v>8</v>
      </c>
      <c r="F41" s="12"/>
      <c r="H41" s="40"/>
    </row>
    <row r="42" spans="1:11" ht="15" customHeight="1">
      <c r="A42" s="46" t="s">
        <v>66</v>
      </c>
      <c r="B42" s="42"/>
      <c r="C42" s="43"/>
      <c r="D42" s="42"/>
      <c r="E42" s="11" t="s">
        <v>8</v>
      </c>
      <c r="F42" s="12"/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SUM(F7:F44)</f>
        <v>14350</v>
      </c>
      <c r="G45" s="50" t="s">
        <v>67</v>
      </c>
      <c r="H45" s="40"/>
    </row>
    <row r="46" spans="1:11">
      <c r="H46" s="51"/>
    </row>
    <row r="47" spans="1:11">
      <c r="A47" s="1" t="s">
        <v>53</v>
      </c>
      <c r="C47" s="129" t="s">
        <v>54</v>
      </c>
      <c r="D47" s="129"/>
      <c r="E47" s="129"/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53" t="s">
        <v>57</v>
      </c>
      <c r="E49" s="153"/>
      <c r="F49" s="153"/>
      <c r="G49" s="153"/>
      <c r="K49" s="40"/>
    </row>
    <row r="50" spans="1:11">
      <c r="D50" s="154" t="s">
        <v>58</v>
      </c>
      <c r="E50" s="154"/>
      <c r="F50" s="154"/>
      <c r="G50" s="154"/>
    </row>
  </sheetData>
  <mergeCells count="13">
    <mergeCell ref="D49:G49"/>
    <mergeCell ref="D50:G50"/>
    <mergeCell ref="I32:K39"/>
    <mergeCell ref="B16:D16"/>
    <mergeCell ref="B25:C25"/>
    <mergeCell ref="B26:C26"/>
    <mergeCell ref="B37:C37"/>
    <mergeCell ref="C47:E47"/>
    <mergeCell ref="A2:F2"/>
    <mergeCell ref="D3:E3"/>
    <mergeCell ref="H10:N10"/>
    <mergeCell ref="B12:C12"/>
    <mergeCell ref="B13:C13"/>
  </mergeCells>
  <pageMargins left="0.75" right="0.75" top="0.75" bottom="0.5" header="0.12" footer="0.33"/>
  <pageSetup paperSize="256" scale="92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4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5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7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2"/>
  <sheetViews>
    <sheetView view="pageBreakPreview" topLeftCell="A4" zoomScale="140" zoomScaleNormal="140" workbookViewId="0">
      <selection activeCell="F17" sqref="F17"/>
    </sheetView>
  </sheetViews>
  <sheetFormatPr defaultColWidth="9.140625" defaultRowHeight="21"/>
  <cols>
    <col min="1" max="1" width="27.5703125" style="57" customWidth="1"/>
    <col min="2" max="2" width="15.28515625" style="57" customWidth="1"/>
    <col min="3" max="3" width="19.28515625" style="57" customWidth="1"/>
    <col min="4" max="4" width="3.5703125" style="57" customWidth="1"/>
    <col min="5" max="5" width="3" style="57" customWidth="1"/>
    <col min="6" max="6" width="20.42578125" style="57" customWidth="1"/>
    <col min="7" max="7" width="3.28515625" style="57" customWidth="1"/>
    <col min="8" max="8" width="23.85546875" style="57" customWidth="1"/>
    <col min="9" max="9" width="6.140625" style="57" customWidth="1"/>
    <col min="10" max="10" width="11.5703125" style="57" customWidth="1"/>
    <col min="11" max="11" width="10.5703125" style="57" customWidth="1"/>
    <col min="12" max="12" width="9.5703125" style="57" customWidth="1"/>
    <col min="13" max="13" width="9.140625" style="57"/>
    <col min="14" max="14" width="9.5703125" style="57" customWidth="1"/>
    <col min="15" max="16384" width="9.140625" style="57"/>
  </cols>
  <sheetData>
    <row r="1" spans="1:11" ht="51.75" customHeight="1"/>
    <row r="2" spans="1:11" ht="16.5" customHeight="1">
      <c r="A2" s="141" t="s">
        <v>59</v>
      </c>
      <c r="B2" s="141"/>
      <c r="C2" s="141"/>
      <c r="D2" s="141"/>
      <c r="E2" s="141"/>
      <c r="F2" s="141"/>
      <c r="G2" s="141"/>
      <c r="H2" s="141"/>
    </row>
    <row r="3" spans="1:11">
      <c r="D3" s="142"/>
      <c r="E3" s="142"/>
      <c r="F3" s="58" t="s">
        <v>1</v>
      </c>
      <c r="G3" s="58"/>
      <c r="H3" s="58"/>
      <c r="I3" s="96"/>
    </row>
    <row r="4" spans="1:11">
      <c r="A4" s="4" t="s">
        <v>83</v>
      </c>
      <c r="B4" s="59"/>
      <c r="C4" s="59"/>
      <c r="D4" s="59"/>
      <c r="F4" s="60" t="s">
        <v>84</v>
      </c>
      <c r="G4" s="60"/>
      <c r="H4" s="60"/>
      <c r="I4" s="97"/>
    </row>
    <row r="5" spans="1:11">
      <c r="A5" s="61" t="s">
        <v>4</v>
      </c>
      <c r="F5" s="112" t="s">
        <v>85</v>
      </c>
      <c r="G5" s="59"/>
      <c r="H5" s="112" t="s">
        <v>86</v>
      </c>
    </row>
    <row r="6" spans="1:11" ht="15" customHeight="1">
      <c r="A6" s="62" t="s">
        <v>5</v>
      </c>
      <c r="B6" s="63" t="s">
        <v>6</v>
      </c>
      <c r="C6" s="63" t="s">
        <v>7</v>
      </c>
      <c r="E6" s="64" t="s">
        <v>8</v>
      </c>
      <c r="F6" s="65"/>
      <c r="G6" s="64" t="s">
        <v>8</v>
      </c>
      <c r="H6" s="65">
        <v>17000</v>
      </c>
      <c r="I6" s="98"/>
      <c r="J6" s="62"/>
    </row>
    <row r="7" spans="1:11" ht="15" customHeight="1">
      <c r="A7" s="62" t="s">
        <v>9</v>
      </c>
      <c r="B7" s="63" t="s">
        <v>10</v>
      </c>
      <c r="C7" s="63" t="s">
        <v>7</v>
      </c>
      <c r="E7" s="64" t="s">
        <v>8</v>
      </c>
      <c r="F7" s="66">
        <v>14000</v>
      </c>
      <c r="G7" s="64" t="s">
        <v>8</v>
      </c>
      <c r="H7" s="66"/>
    </row>
    <row r="8" spans="1:11" ht="13.5" customHeight="1">
      <c r="A8" s="62" t="s">
        <v>11</v>
      </c>
      <c r="C8" s="67"/>
      <c r="E8" s="64" t="s">
        <v>8</v>
      </c>
      <c r="F8" s="68"/>
      <c r="G8" s="64" t="s">
        <v>8</v>
      </c>
      <c r="H8" s="68"/>
      <c r="I8" s="99"/>
      <c r="J8" s="62"/>
    </row>
    <row r="9" spans="1:11" ht="19.5" customHeight="1">
      <c r="A9" s="62" t="s">
        <v>12</v>
      </c>
      <c r="B9" s="69" t="s">
        <v>13</v>
      </c>
      <c r="C9" s="69" t="s">
        <v>14</v>
      </c>
      <c r="E9" s="64" t="s">
        <v>8</v>
      </c>
      <c r="F9" s="68"/>
      <c r="G9" s="64" t="s">
        <v>8</v>
      </c>
      <c r="H9" s="68"/>
      <c r="J9" s="99"/>
      <c r="K9" s="62"/>
    </row>
    <row r="10" spans="1:11" ht="20.25" customHeight="1">
      <c r="A10" s="62" t="s">
        <v>15</v>
      </c>
      <c r="B10" s="70" t="s">
        <v>16</v>
      </c>
      <c r="C10" s="69" t="s">
        <v>17</v>
      </c>
      <c r="D10" s="62"/>
      <c r="E10" s="64" t="s">
        <v>8</v>
      </c>
      <c r="F10" s="66"/>
      <c r="G10" s="64" t="s">
        <v>8</v>
      </c>
      <c r="H10" s="66"/>
      <c r="I10" s="62"/>
    </row>
    <row r="11" spans="1:11" ht="15" customHeight="1">
      <c r="A11" s="62" t="s">
        <v>18</v>
      </c>
      <c r="C11" s="71"/>
      <c r="E11" s="64" t="s">
        <v>8</v>
      </c>
      <c r="F11" s="66"/>
      <c r="G11" s="64" t="s">
        <v>8</v>
      </c>
      <c r="H11" s="66"/>
    </row>
    <row r="12" spans="1:11" ht="15" customHeight="1">
      <c r="A12" s="62" t="s">
        <v>19</v>
      </c>
      <c r="B12" s="143"/>
      <c r="C12" s="143"/>
      <c r="E12" s="64" t="s">
        <v>8</v>
      </c>
      <c r="F12" s="68"/>
      <c r="G12" s="64" t="s">
        <v>8</v>
      </c>
      <c r="H12" s="68"/>
      <c r="I12" s="99"/>
      <c r="J12" s="62"/>
    </row>
    <row r="13" spans="1:11" ht="15" customHeight="1">
      <c r="A13" s="62" t="s">
        <v>20</v>
      </c>
      <c r="B13" s="144"/>
      <c r="C13" s="143"/>
      <c r="E13" s="64" t="s">
        <v>8</v>
      </c>
      <c r="F13" s="68"/>
      <c r="G13" s="64" t="s">
        <v>8</v>
      </c>
      <c r="H13" s="68"/>
      <c r="I13" s="99"/>
      <c r="J13" s="62"/>
    </row>
    <row r="14" spans="1:11" ht="15" customHeight="1">
      <c r="A14" s="62" t="s">
        <v>21</v>
      </c>
      <c r="C14" s="72"/>
      <c r="E14" s="64" t="s">
        <v>8</v>
      </c>
      <c r="F14" s="68"/>
      <c r="G14" s="64" t="s">
        <v>8</v>
      </c>
      <c r="H14" s="68"/>
      <c r="I14" s="99"/>
      <c r="J14" s="62"/>
    </row>
    <row r="15" spans="1:11" ht="18" customHeight="1">
      <c r="A15" s="62" t="s">
        <v>22</v>
      </c>
      <c r="B15" s="73" t="s">
        <v>23</v>
      </c>
      <c r="C15" s="74" t="s">
        <v>24</v>
      </c>
      <c r="E15" s="64" t="s">
        <v>8</v>
      </c>
      <c r="F15" s="68"/>
      <c r="G15" s="64" t="s">
        <v>8</v>
      </c>
      <c r="H15" s="68"/>
    </row>
    <row r="16" spans="1:11" ht="15" customHeight="1">
      <c r="A16" s="62" t="s">
        <v>25</v>
      </c>
      <c r="B16" s="144"/>
      <c r="C16" s="144"/>
      <c r="D16" s="144"/>
      <c r="E16" s="64" t="s">
        <v>8</v>
      </c>
      <c r="F16" s="68"/>
      <c r="G16" s="64" t="s">
        <v>8</v>
      </c>
      <c r="H16" s="68"/>
    </row>
    <row r="17" spans="1:11" ht="15" customHeight="1">
      <c r="A17" s="62" t="s">
        <v>26</v>
      </c>
      <c r="C17" s="72"/>
      <c r="D17" s="62"/>
      <c r="E17" s="64" t="s">
        <v>8</v>
      </c>
      <c r="F17" s="68"/>
      <c r="G17" s="64" t="s">
        <v>8</v>
      </c>
      <c r="H17" s="68"/>
      <c r="I17" s="62"/>
    </row>
    <row r="18" spans="1:11">
      <c r="A18" s="62" t="s">
        <v>27</v>
      </c>
      <c r="C18" s="72"/>
      <c r="D18" s="62"/>
      <c r="E18" s="64" t="s">
        <v>8</v>
      </c>
      <c r="F18" s="68"/>
      <c r="G18" s="64" t="s">
        <v>8</v>
      </c>
      <c r="H18" s="68"/>
      <c r="I18" s="62"/>
    </row>
    <row r="19" spans="1:11">
      <c r="A19" s="61" t="s">
        <v>28</v>
      </c>
      <c r="E19" s="64"/>
      <c r="F19" s="75"/>
      <c r="G19" s="64"/>
      <c r="H19" s="75"/>
    </row>
    <row r="20" spans="1:11" ht="15" customHeight="1">
      <c r="A20" s="62" t="s">
        <v>29</v>
      </c>
      <c r="C20" s="71"/>
      <c r="E20" s="64" t="s">
        <v>8</v>
      </c>
      <c r="F20" s="65"/>
      <c r="G20" s="64" t="s">
        <v>8</v>
      </c>
      <c r="H20" s="65"/>
    </row>
    <row r="21" spans="1:11" ht="19.5" customHeight="1">
      <c r="A21" s="62" t="s">
        <v>30</v>
      </c>
      <c r="C21" s="72" t="s">
        <v>80</v>
      </c>
      <c r="E21" s="64" t="s">
        <v>8</v>
      </c>
      <c r="F21" s="65">
        <v>1875</v>
      </c>
      <c r="G21" s="64" t="s">
        <v>8</v>
      </c>
      <c r="H21" s="65">
        <v>1125</v>
      </c>
      <c r="K21" s="72" t="s">
        <v>71</v>
      </c>
    </row>
    <row r="22" spans="1:11" ht="19.5" customHeight="1">
      <c r="A22" s="62" t="s">
        <v>31</v>
      </c>
      <c r="C22" s="72" t="s">
        <v>80</v>
      </c>
      <c r="E22" s="64" t="s">
        <v>8</v>
      </c>
      <c r="F22" s="65">
        <v>1875</v>
      </c>
      <c r="G22" s="64" t="s">
        <v>8</v>
      </c>
      <c r="H22" s="65">
        <v>1125</v>
      </c>
      <c r="I22" s="62"/>
      <c r="K22" s="72" t="s">
        <v>72</v>
      </c>
    </row>
    <row r="23" spans="1:11" ht="18.75" customHeight="1">
      <c r="A23" s="62" t="s">
        <v>32</v>
      </c>
      <c r="C23" s="72" t="s">
        <v>87</v>
      </c>
      <c r="E23" s="64" t="s">
        <v>8</v>
      </c>
      <c r="F23" s="65"/>
      <c r="G23" s="64" t="s">
        <v>8</v>
      </c>
      <c r="H23" s="65">
        <v>390</v>
      </c>
      <c r="I23" s="99"/>
      <c r="J23" s="62"/>
      <c r="K23" s="64"/>
    </row>
    <row r="24" spans="1:11" ht="18.75" customHeight="1">
      <c r="A24" s="62" t="s">
        <v>33</v>
      </c>
      <c r="C24" s="72" t="s">
        <v>79</v>
      </c>
      <c r="E24" s="64"/>
      <c r="F24" s="65"/>
      <c r="G24" s="64"/>
      <c r="H24" s="65">
        <v>60</v>
      </c>
      <c r="I24" s="99"/>
      <c r="J24" s="62"/>
    </row>
    <row r="25" spans="1:11" ht="18" customHeight="1">
      <c r="A25" s="62" t="s">
        <v>34</v>
      </c>
      <c r="B25" s="76"/>
      <c r="C25" s="77"/>
      <c r="D25" s="78"/>
      <c r="E25" s="64" t="s">
        <v>8</v>
      </c>
      <c r="F25" s="65"/>
      <c r="G25" s="64" t="s">
        <v>8</v>
      </c>
      <c r="H25" s="65"/>
      <c r="I25" s="62"/>
    </row>
    <row r="26" spans="1:11" ht="15.75" customHeight="1">
      <c r="A26" s="62" t="s">
        <v>35</v>
      </c>
      <c r="C26" s="79"/>
      <c r="D26" s="62"/>
      <c r="E26" s="64" t="s">
        <v>8</v>
      </c>
      <c r="F26" s="65"/>
      <c r="G26" s="64" t="s">
        <v>8</v>
      </c>
      <c r="H26" s="65"/>
      <c r="I26" s="62"/>
    </row>
    <row r="27" spans="1:11">
      <c r="A27" s="61" t="s">
        <v>36</v>
      </c>
      <c r="E27" s="64"/>
      <c r="F27" s="75"/>
      <c r="G27" s="64"/>
      <c r="H27" s="75"/>
    </row>
    <row r="28" spans="1:11" ht="15" customHeight="1">
      <c r="A28" s="62" t="s">
        <v>37</v>
      </c>
      <c r="E28" s="64"/>
      <c r="F28" s="75"/>
      <c r="G28" s="64"/>
      <c r="H28" s="75"/>
    </row>
    <row r="29" spans="1:11" ht="15" customHeight="1">
      <c r="A29" s="63" t="s">
        <v>38</v>
      </c>
      <c r="B29" s="63" t="s">
        <v>39</v>
      </c>
      <c r="C29" s="73" t="s">
        <v>40</v>
      </c>
      <c r="E29" s="64" t="s">
        <v>8</v>
      </c>
      <c r="F29" s="80"/>
      <c r="G29" s="64" t="s">
        <v>8</v>
      </c>
      <c r="H29" s="80"/>
      <c r="I29" s="99"/>
      <c r="J29" s="62"/>
    </row>
    <row r="30" spans="1:11" ht="16.5" customHeight="1">
      <c r="A30" s="62" t="s">
        <v>41</v>
      </c>
      <c r="E30" s="64" t="s">
        <v>8</v>
      </c>
      <c r="F30" s="80"/>
      <c r="G30" s="64" t="s">
        <v>8</v>
      </c>
      <c r="H30" s="80"/>
    </row>
    <row r="31" spans="1:11" ht="15" hidden="1" customHeight="1">
      <c r="A31" s="62" t="s">
        <v>42</v>
      </c>
      <c r="C31" s="81"/>
      <c r="D31" s="62"/>
      <c r="E31" s="64" t="s">
        <v>8</v>
      </c>
      <c r="F31" s="80"/>
      <c r="G31" s="64" t="s">
        <v>8</v>
      </c>
      <c r="H31" s="80"/>
      <c r="I31" s="62"/>
    </row>
    <row r="32" spans="1:11" ht="15" customHeight="1">
      <c r="A32" s="62" t="s">
        <v>43</v>
      </c>
      <c r="C32" s="81"/>
      <c r="D32" s="62"/>
      <c r="E32" s="64" t="s">
        <v>8</v>
      </c>
      <c r="F32" s="80"/>
      <c r="G32" s="64" t="s">
        <v>8</v>
      </c>
      <c r="H32" s="80"/>
      <c r="I32" s="62"/>
    </row>
    <row r="33" spans="1:13" ht="15" hidden="1" customHeight="1">
      <c r="A33" s="62" t="s">
        <v>44</v>
      </c>
      <c r="C33" s="81"/>
      <c r="E33" s="64" t="s">
        <v>8</v>
      </c>
      <c r="F33" s="80"/>
      <c r="G33" s="64" t="s">
        <v>8</v>
      </c>
      <c r="H33" s="80"/>
      <c r="I33" s="99"/>
      <c r="J33" s="62"/>
    </row>
    <row r="34" spans="1:13" ht="15" customHeight="1">
      <c r="A34" s="62" t="s">
        <v>45</v>
      </c>
      <c r="C34" s="81"/>
      <c r="E34" s="64" t="s">
        <v>8</v>
      </c>
      <c r="F34" s="68"/>
      <c r="G34" s="64" t="s">
        <v>8</v>
      </c>
      <c r="H34" s="68"/>
      <c r="I34" s="99"/>
      <c r="J34" s="62"/>
      <c r="M34" s="100"/>
    </row>
    <row r="35" spans="1:13" ht="15" customHeight="1">
      <c r="A35" s="62" t="s">
        <v>46</v>
      </c>
      <c r="E35" s="64"/>
      <c r="F35" s="82"/>
      <c r="G35" s="64"/>
      <c r="H35" s="82"/>
      <c r="K35" s="101"/>
      <c r="L35" s="100"/>
      <c r="M35" s="101"/>
    </row>
    <row r="36" spans="1:13" ht="15" customHeight="1">
      <c r="A36" s="62" t="s">
        <v>48</v>
      </c>
      <c r="C36" s="71"/>
      <c r="E36" s="64" t="s">
        <v>8</v>
      </c>
      <c r="F36" s="65"/>
      <c r="G36" s="64" t="s">
        <v>8</v>
      </c>
      <c r="H36" s="65"/>
      <c r="K36" s="101"/>
      <c r="L36" s="100"/>
    </row>
    <row r="37" spans="1:13" ht="15" customHeight="1">
      <c r="A37" s="62" t="s">
        <v>49</v>
      </c>
      <c r="C37" s="83"/>
      <c r="E37" s="64" t="s">
        <v>8</v>
      </c>
      <c r="F37" s="84"/>
      <c r="G37" s="64" t="s">
        <v>8</v>
      </c>
      <c r="H37" s="84"/>
    </row>
    <row r="38" spans="1:13" ht="15" customHeight="1">
      <c r="A38" s="62" t="s">
        <v>75</v>
      </c>
      <c r="B38" s="143"/>
      <c r="C38" s="143"/>
      <c r="D38" s="62"/>
      <c r="E38" s="64" t="s">
        <v>8</v>
      </c>
      <c r="F38" s="65"/>
      <c r="G38" s="64" t="s">
        <v>8</v>
      </c>
      <c r="H38" s="65"/>
      <c r="I38" s="62"/>
    </row>
    <row r="39" spans="1:13" ht="15" customHeight="1">
      <c r="A39" s="85" t="s">
        <v>65</v>
      </c>
      <c r="C39" s="86"/>
      <c r="E39" s="64" t="s">
        <v>8</v>
      </c>
      <c r="F39" s="65">
        <v>650</v>
      </c>
      <c r="G39" s="64" t="s">
        <v>8</v>
      </c>
      <c r="H39" s="65">
        <v>0</v>
      </c>
      <c r="J39" s="101"/>
    </row>
    <row r="40" spans="1:13" ht="15" customHeight="1">
      <c r="A40" s="87"/>
      <c r="C40" s="86"/>
      <c r="E40" s="64" t="s">
        <v>8</v>
      </c>
      <c r="F40" s="65">
        <v>1000</v>
      </c>
      <c r="G40" s="64" t="s">
        <v>8</v>
      </c>
      <c r="H40" s="65"/>
      <c r="J40" s="101"/>
    </row>
    <row r="41" spans="1:13" ht="15" customHeight="1">
      <c r="A41" s="87"/>
      <c r="B41" s="88"/>
      <c r="C41" s="86"/>
      <c r="D41" s="88"/>
      <c r="E41" s="64"/>
      <c r="F41" s="65"/>
      <c r="G41" s="89"/>
      <c r="H41" s="65"/>
      <c r="J41" s="101"/>
    </row>
    <row r="42" spans="1:13" ht="15" customHeight="1">
      <c r="A42" s="90"/>
      <c r="B42" s="88"/>
      <c r="C42" s="86"/>
      <c r="D42" s="88"/>
      <c r="E42" s="64"/>
      <c r="F42" s="65"/>
      <c r="G42" s="89"/>
      <c r="H42" s="65"/>
      <c r="J42" s="101"/>
    </row>
    <row r="43" spans="1:13" ht="15" customHeight="1">
      <c r="A43" s="91"/>
      <c r="B43" s="88"/>
      <c r="C43" s="92"/>
      <c r="D43" s="88"/>
      <c r="E43" s="89"/>
      <c r="F43" s="65"/>
      <c r="G43" s="89"/>
      <c r="H43" s="65"/>
      <c r="J43" s="101"/>
    </row>
    <row r="44" spans="1:13" ht="21.75" customHeight="1">
      <c r="B44" s="93" t="s">
        <v>76</v>
      </c>
      <c r="E44" s="89" t="s">
        <v>8</v>
      </c>
      <c r="F44" s="94">
        <f>SUM(F6:F42)</f>
        <v>19400</v>
      </c>
      <c r="G44" s="89" t="s">
        <v>8</v>
      </c>
      <c r="H44" s="94">
        <f>SUM(H6:H42)</f>
        <v>19700</v>
      </c>
      <c r="I44" s="102"/>
      <c r="J44" s="101"/>
    </row>
    <row r="45" spans="1:13">
      <c r="B45" s="88" t="s">
        <v>77</v>
      </c>
      <c r="E45" s="89" t="s">
        <v>8</v>
      </c>
      <c r="F45" s="145">
        <f>SUM(F44+H44)</f>
        <v>39100</v>
      </c>
      <c r="G45" s="145"/>
      <c r="H45" s="145"/>
      <c r="J45" s="100"/>
    </row>
    <row r="46" spans="1:13">
      <c r="J46" s="101"/>
      <c r="M46" s="100"/>
    </row>
    <row r="47" spans="1:13">
      <c r="H47" s="95"/>
    </row>
    <row r="49" spans="1:8">
      <c r="A49" s="57" t="s">
        <v>53</v>
      </c>
      <c r="C49" s="146" t="s">
        <v>54</v>
      </c>
      <c r="D49" s="146"/>
      <c r="E49" s="146"/>
      <c r="F49" s="146"/>
    </row>
    <row r="50" spans="1:8">
      <c r="A50" s="57" t="s">
        <v>55</v>
      </c>
      <c r="D50" s="59"/>
      <c r="E50" s="59"/>
      <c r="F50" s="59"/>
      <c r="G50" s="59"/>
    </row>
    <row r="51" spans="1:8">
      <c r="A51" s="57" t="s">
        <v>56</v>
      </c>
      <c r="D51" s="147" t="s">
        <v>57</v>
      </c>
      <c r="E51" s="147"/>
      <c r="F51" s="147"/>
      <c r="G51" s="147"/>
      <c r="H51" s="147"/>
    </row>
    <row r="52" spans="1:8">
      <c r="C52" s="148" t="s">
        <v>78</v>
      </c>
      <c r="D52" s="148"/>
      <c r="E52" s="148"/>
      <c r="F52" s="148"/>
      <c r="G52" s="148"/>
      <c r="H52" s="148"/>
    </row>
  </sheetData>
  <mergeCells count="10"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ageMargins left="0.75" right="0.75" top="0.75" bottom="0.5" header="0.12" footer="0.33"/>
  <pageSetup paperSize="256" scale="77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0"/>
  <sheetViews>
    <sheetView view="pageBreakPreview" zoomScale="140" zoomScaleNormal="140" workbookViewId="0">
      <selection activeCell="F11" sqref="F11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17.7109375" style="1" customWidth="1"/>
    <col min="7" max="7" width="10.28515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11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88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113" t="s">
        <v>89</v>
      </c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>
        <v>14000</v>
      </c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G15" s="55"/>
      <c r="I15" s="53"/>
      <c r="K15" s="53"/>
      <c r="L15" s="53"/>
      <c r="M15" s="53"/>
      <c r="N15" s="53"/>
    </row>
    <row r="16" spans="1:14" ht="15" customHeight="1">
      <c r="A16" s="9" t="s">
        <v>25</v>
      </c>
      <c r="B16" s="140"/>
      <c r="C16" s="140"/>
      <c r="D16" s="140"/>
      <c r="E16" s="11" t="s">
        <v>8</v>
      </c>
      <c r="F16" s="16"/>
      <c r="J16" s="11"/>
    </row>
    <row r="17" spans="1:11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1" ht="1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/>
    </row>
    <row r="19" spans="1:11" ht="15.75">
      <c r="A19" s="8" t="s">
        <v>28</v>
      </c>
      <c r="E19" s="11"/>
      <c r="F19" s="27"/>
      <c r="I19" s="28" t="s">
        <v>71</v>
      </c>
    </row>
    <row r="20" spans="1:11" ht="15" customHeight="1">
      <c r="A20" s="9" t="s">
        <v>29</v>
      </c>
      <c r="C20" s="22"/>
      <c r="E20" s="11" t="s">
        <v>8</v>
      </c>
      <c r="F20" s="12"/>
      <c r="I20" s="28" t="s">
        <v>72</v>
      </c>
    </row>
    <row r="21" spans="1:11" ht="15" customHeight="1">
      <c r="A21" s="9" t="s">
        <v>30</v>
      </c>
      <c r="B21" s="5"/>
      <c r="C21" s="28" t="s">
        <v>90</v>
      </c>
      <c r="E21" s="11"/>
      <c r="F21" s="12">
        <v>2250</v>
      </c>
    </row>
    <row r="22" spans="1:11" ht="15" customHeight="1">
      <c r="A22" s="9" t="s">
        <v>31</v>
      </c>
      <c r="B22" s="5"/>
      <c r="C22" s="28" t="s">
        <v>91</v>
      </c>
      <c r="E22" s="11"/>
      <c r="F22" s="12">
        <v>750</v>
      </c>
      <c r="G22" s="9"/>
    </row>
    <row r="23" spans="1:11" ht="15" customHeight="1">
      <c r="A23" s="9" t="s">
        <v>32</v>
      </c>
      <c r="B23" s="5"/>
      <c r="C23" s="28" t="s">
        <v>92</v>
      </c>
      <c r="E23" s="11"/>
      <c r="F23" s="12">
        <v>975</v>
      </c>
      <c r="G23" s="17"/>
      <c r="H23" s="9"/>
    </row>
    <row r="24" spans="1:11" ht="13.5" customHeight="1">
      <c r="A24" s="9" t="s">
        <v>33</v>
      </c>
      <c r="B24" s="5"/>
      <c r="C24" s="28" t="s">
        <v>93</v>
      </c>
      <c r="E24" s="11"/>
      <c r="F24" s="12">
        <v>150</v>
      </c>
      <c r="G24" s="17"/>
      <c r="H24" s="9"/>
      <c r="K24" s="1">
        <v>7500</v>
      </c>
    </row>
    <row r="25" spans="1:11" ht="10.5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>
        <v>15059.2</v>
      </c>
      <c r="E38" s="11" t="s">
        <v>8</v>
      </c>
      <c r="F38" s="12">
        <v>15059.2</v>
      </c>
      <c r="H38" s="40"/>
      <c r="I38" s="135"/>
      <c r="J38" s="135"/>
      <c r="K38" s="135"/>
    </row>
    <row r="39" spans="1:11" ht="15" customHeight="1">
      <c r="A39" s="41"/>
      <c r="C39" s="39"/>
      <c r="E39" s="11" t="s">
        <v>8</v>
      </c>
      <c r="F39" s="12"/>
      <c r="H39" s="40"/>
      <c r="I39" s="135"/>
      <c r="J39" s="135"/>
      <c r="K39" s="135"/>
    </row>
    <row r="40" spans="1:11" ht="15" customHeight="1">
      <c r="A40" s="41"/>
      <c r="B40" s="42"/>
      <c r="C40" s="43"/>
      <c r="D40" s="42"/>
      <c r="E40" s="11" t="s">
        <v>8</v>
      </c>
      <c r="F40" s="12"/>
      <c r="H40" s="40"/>
    </row>
    <row r="41" spans="1:11" ht="15" customHeight="1">
      <c r="A41" s="45"/>
      <c r="B41" s="42"/>
      <c r="C41" s="1">
        <v>2000</v>
      </c>
      <c r="D41" s="42"/>
      <c r="E41" s="11" t="s">
        <v>8</v>
      </c>
      <c r="F41" s="12">
        <v>2000</v>
      </c>
      <c r="H41" s="40"/>
    </row>
    <row r="42" spans="1:11" ht="15" customHeight="1">
      <c r="A42" s="46" t="s">
        <v>66</v>
      </c>
      <c r="B42" s="42"/>
      <c r="C42" s="43">
        <v>5000</v>
      </c>
      <c r="D42" s="42"/>
      <c r="E42" s="11" t="s">
        <v>8</v>
      </c>
      <c r="F42" s="12">
        <v>5000</v>
      </c>
      <c r="H42" s="40"/>
      <c r="I42" s="1">
        <v>0</v>
      </c>
    </row>
    <row r="43" spans="1:11" ht="15" customHeight="1">
      <c r="A43" s="46"/>
      <c r="B43" s="42"/>
      <c r="C43" s="43">
        <v>3000</v>
      </c>
      <c r="D43" s="42"/>
      <c r="E43" s="11"/>
      <c r="F43" s="12">
        <v>3000</v>
      </c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SUM(F6:F44)</f>
        <v>43184.2</v>
      </c>
      <c r="G45" s="50" t="s">
        <v>67</v>
      </c>
      <c r="H45" s="40"/>
    </row>
    <row r="46" spans="1:11">
      <c r="H46" s="51"/>
    </row>
    <row r="47" spans="1:11">
      <c r="A47" s="1" t="s">
        <v>53</v>
      </c>
      <c r="C47" s="129" t="s">
        <v>54</v>
      </c>
      <c r="D47" s="129"/>
      <c r="E47" s="129"/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53" t="s">
        <v>57</v>
      </c>
      <c r="E49" s="153"/>
      <c r="F49" s="153"/>
      <c r="G49" s="153"/>
      <c r="K49" s="40"/>
    </row>
    <row r="50" spans="1:11">
      <c r="D50" s="154" t="s">
        <v>58</v>
      </c>
      <c r="E50" s="154"/>
      <c r="F50" s="154"/>
      <c r="G50" s="154"/>
    </row>
  </sheetData>
  <mergeCells count="13">
    <mergeCell ref="D49:G49"/>
    <mergeCell ref="D50:G50"/>
    <mergeCell ref="I32:K39"/>
    <mergeCell ref="B16:D16"/>
    <mergeCell ref="B25:C25"/>
    <mergeCell ref="B26:C26"/>
    <mergeCell ref="B37:C37"/>
    <mergeCell ref="C47:E47"/>
    <mergeCell ref="A2:F2"/>
    <mergeCell ref="D3:E3"/>
    <mergeCell ref="H10:N10"/>
    <mergeCell ref="B12:C12"/>
    <mergeCell ref="B13:C13"/>
  </mergeCells>
  <pageMargins left="0.75" right="0.75" top="0.75" bottom="0.5" header="0.12" footer="0.33"/>
  <pageSetup paperSize="256" scale="92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4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5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6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7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9"/>
  <sheetViews>
    <sheetView view="pageBreakPreview" zoomScale="140" zoomScaleNormal="140" workbookViewId="0">
      <selection activeCell="F22" sqref="F22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105</v>
      </c>
      <c r="B4" s="5"/>
      <c r="C4" s="5"/>
      <c r="D4" s="5"/>
      <c r="F4" s="6" t="s">
        <v>3</v>
      </c>
      <c r="G4" s="7"/>
    </row>
    <row r="5" spans="1:14" ht="15.75">
      <c r="A5" s="8"/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10000</v>
      </c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55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56"/>
      <c r="C16" s="124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104" t="s">
        <v>106</v>
      </c>
      <c r="E21" s="11" t="s">
        <v>8</v>
      </c>
      <c r="F21" s="12">
        <v>1500</v>
      </c>
      <c r="H21" s="1">
        <f>F21+F22+F23+F24+F40</f>
        <v>1800</v>
      </c>
    </row>
    <row r="22" spans="1:8" ht="15" customHeight="1">
      <c r="A22" s="9" t="s">
        <v>31</v>
      </c>
      <c r="C22" s="104"/>
      <c r="E22" s="11"/>
      <c r="F22" s="12"/>
      <c r="G22" s="9"/>
    </row>
    <row r="23" spans="1:8" ht="15" customHeight="1">
      <c r="A23" s="9" t="s">
        <v>32</v>
      </c>
      <c r="C23" s="105" t="s">
        <v>107</v>
      </c>
      <c r="E23" s="11" t="s">
        <v>8</v>
      </c>
      <c r="F23" s="12">
        <v>260</v>
      </c>
      <c r="G23" s="17"/>
      <c r="H23" s="9"/>
    </row>
    <row r="24" spans="1:8" ht="15" customHeight="1">
      <c r="A24" s="9" t="s">
        <v>33</v>
      </c>
      <c r="C24" s="105" t="s">
        <v>108</v>
      </c>
      <c r="E24" s="11"/>
      <c r="F24" s="12">
        <v>40</v>
      </c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/>
      <c r="C39" s="39">
        <v>5000</v>
      </c>
      <c r="E39" s="11" t="s">
        <v>8</v>
      </c>
      <c r="F39" s="12">
        <v>5000</v>
      </c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16800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10">
    <mergeCell ref="B26:C26"/>
    <mergeCell ref="B38:C38"/>
    <mergeCell ref="D48:F48"/>
    <mergeCell ref="D49:F49"/>
    <mergeCell ref="B16:C16"/>
    <mergeCell ref="A2:F2"/>
    <mergeCell ref="D3:E3"/>
    <mergeCell ref="H10:N10"/>
    <mergeCell ref="B12:C12"/>
    <mergeCell ref="B13:D13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6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7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8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9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0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1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2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3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4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5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6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7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1E3-53C3-49D3-A72C-D91295930634}">
  <dimension ref="A1:N49"/>
  <sheetViews>
    <sheetView view="pageBreakPreview" topLeftCell="A16" zoomScale="140" zoomScaleNormal="140" workbookViewId="0">
      <selection activeCell="F29" sqref="F29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.7109375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14" ht="51.75" customHeight="1"/>
    <row r="2" spans="1:14" ht="16.5" customHeight="1">
      <c r="A2" s="128" t="s">
        <v>0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131</v>
      </c>
      <c r="B4" s="5"/>
      <c r="C4" s="5"/>
      <c r="D4" s="5"/>
      <c r="F4" s="6" t="s">
        <v>3</v>
      </c>
      <c r="G4" s="7"/>
    </row>
    <row r="5" spans="1:14" ht="15.75">
      <c r="A5" s="8"/>
      <c r="F5" s="5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55"/>
      <c r="C13" s="132"/>
      <c r="D13" s="132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56"/>
      <c r="C16" s="124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8" ht="15" customHeight="1">
      <c r="A22" s="9" t="s">
        <v>31</v>
      </c>
      <c r="C22" s="28"/>
      <c r="E22" s="11"/>
      <c r="F22" s="12"/>
      <c r="G22" s="9"/>
    </row>
    <row r="23" spans="1:8" ht="15" customHeight="1">
      <c r="A23" s="9" t="s">
        <v>32</v>
      </c>
      <c r="C23" s="28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28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51"/>
      <c r="C26" s="151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120" t="s">
        <v>127</v>
      </c>
      <c r="E36" s="11" t="s">
        <v>8</v>
      </c>
      <c r="F36" s="12">
        <v>500</v>
      </c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50</v>
      </c>
      <c r="B38" s="149"/>
      <c r="C38" s="125"/>
      <c r="D38" s="9"/>
      <c r="E38" s="11" t="s">
        <v>8</v>
      </c>
      <c r="F38" s="12"/>
      <c r="G38" s="9" t="s">
        <v>64</v>
      </c>
    </row>
    <row r="39" spans="1:11" ht="15" customHeight="1">
      <c r="A39" s="38" t="s">
        <v>65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500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10"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0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1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2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3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4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5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171450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6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7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8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9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20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21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206F-483D-4031-94CA-94A687ED7D43}">
  <dimension ref="A1:M49"/>
  <sheetViews>
    <sheetView view="pageBreakPreview" zoomScale="140" zoomScaleNormal="140" workbookViewId="0">
      <selection activeCell="C21" sqref="C21:C24"/>
    </sheetView>
  </sheetViews>
  <sheetFormatPr defaultColWidth="9.140625" defaultRowHeight="15"/>
  <cols>
    <col min="1" max="1" width="28.85546875" style="1" customWidth="1"/>
    <col min="2" max="2" width="14.28515625" style="1" customWidth="1"/>
    <col min="3" max="3" width="19.28515625" style="1" customWidth="1"/>
    <col min="4" max="4" width="3.5703125" style="1" customWidth="1"/>
    <col min="5" max="5" width="3" style="1" customWidth="1"/>
    <col min="6" max="6" width="20.42578125" style="1" customWidth="1"/>
    <col min="7" max="7" width="6.140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9.140625" style="1"/>
    <col min="12" max="12" width="9.5703125" style="1" customWidth="1"/>
    <col min="13" max="16384" width="9.140625" style="1"/>
  </cols>
  <sheetData>
    <row r="1" spans="1:9" ht="51.75" customHeight="1"/>
    <row r="2" spans="1:9" ht="16.5" customHeight="1">
      <c r="A2" s="128" t="s">
        <v>0</v>
      </c>
      <c r="B2" s="128"/>
      <c r="C2" s="128"/>
      <c r="D2" s="128"/>
      <c r="E2" s="128"/>
      <c r="F2" s="128"/>
    </row>
    <row r="3" spans="1:9">
      <c r="D3" s="129"/>
      <c r="E3" s="129"/>
      <c r="F3" s="2" t="s">
        <v>1</v>
      </c>
      <c r="G3" s="3"/>
    </row>
    <row r="4" spans="1:9" ht="15.75">
      <c r="A4" s="4" t="s">
        <v>100</v>
      </c>
      <c r="B4" s="5"/>
      <c r="C4" s="5"/>
      <c r="D4" s="5"/>
      <c r="F4" s="6" t="s">
        <v>3</v>
      </c>
      <c r="G4" s="7"/>
    </row>
    <row r="5" spans="1:9" ht="15.75">
      <c r="A5" s="8" t="s">
        <v>4</v>
      </c>
      <c r="F5" s="5"/>
    </row>
    <row r="6" spans="1:9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9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14000</v>
      </c>
    </row>
    <row r="8" spans="1:9" ht="13.5" customHeight="1">
      <c r="A8" s="9" t="s">
        <v>11</v>
      </c>
      <c r="C8" s="15"/>
      <c r="E8" s="11" t="s">
        <v>8</v>
      </c>
      <c r="F8" s="16"/>
      <c r="G8" s="17"/>
      <c r="H8" s="9"/>
    </row>
    <row r="9" spans="1:9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9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9" ht="15" customHeight="1">
      <c r="A11" s="9" t="s">
        <v>18</v>
      </c>
      <c r="C11" s="22"/>
      <c r="E11" s="11" t="s">
        <v>8</v>
      </c>
      <c r="F11" s="14"/>
      <c r="G11" s="23"/>
    </row>
    <row r="12" spans="1:9" ht="15" customHeight="1">
      <c r="A12" s="9" t="s">
        <v>19</v>
      </c>
      <c r="B12" s="124"/>
      <c r="C12" s="124"/>
      <c r="E12" s="11" t="s">
        <v>8</v>
      </c>
      <c r="F12" s="16"/>
      <c r="G12" s="17"/>
      <c r="H12" s="9"/>
    </row>
    <row r="13" spans="1:9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</row>
    <row r="14" spans="1:9" ht="15" customHeight="1">
      <c r="A14" s="9" t="s">
        <v>21</v>
      </c>
      <c r="C14" s="24"/>
      <c r="E14" s="11" t="s">
        <v>8</v>
      </c>
      <c r="F14" s="16"/>
      <c r="G14" s="17"/>
      <c r="H14" s="9"/>
    </row>
    <row r="15" spans="1:9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9" ht="15" customHeight="1">
      <c r="A16" s="9" t="s">
        <v>25</v>
      </c>
      <c r="B16" s="132"/>
      <c r="C16" s="132"/>
      <c r="D16" s="132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</row>
    <row r="19" spans="1:8" ht="15.7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104" t="s">
        <v>103</v>
      </c>
      <c r="E21" s="11" t="s">
        <v>8</v>
      </c>
      <c r="F21" s="12">
        <v>450</v>
      </c>
    </row>
    <row r="22" spans="1:8" ht="15" customHeight="1">
      <c r="A22" s="9" t="s">
        <v>31</v>
      </c>
      <c r="C22" s="104" t="s">
        <v>102</v>
      </c>
      <c r="E22" s="11" t="s">
        <v>8</v>
      </c>
      <c r="F22" s="12">
        <v>450</v>
      </c>
      <c r="G22" s="9"/>
    </row>
    <row r="23" spans="1:8" ht="15" customHeight="1">
      <c r="A23" s="9" t="s">
        <v>32</v>
      </c>
      <c r="C23" s="105" t="s">
        <v>101</v>
      </c>
      <c r="E23" s="11" t="s">
        <v>8</v>
      </c>
      <c r="F23" s="12">
        <v>455</v>
      </c>
      <c r="G23" s="17"/>
      <c r="H23" s="9"/>
    </row>
    <row r="24" spans="1:8" ht="15" customHeight="1">
      <c r="A24" s="9" t="s">
        <v>33</v>
      </c>
      <c r="C24" s="105" t="s">
        <v>104</v>
      </c>
      <c r="E24" s="11"/>
      <c r="F24" s="12">
        <v>70</v>
      </c>
      <c r="G24" s="17"/>
      <c r="H24" s="9"/>
    </row>
    <row r="25" spans="1:8" ht="15" customHeight="1">
      <c r="A25" s="9" t="s">
        <v>34</v>
      </c>
      <c r="B25" s="123"/>
      <c r="C25" s="124"/>
      <c r="D25" s="31"/>
      <c r="E25" s="11" t="s">
        <v>8</v>
      </c>
      <c r="F25" s="12"/>
      <c r="G25" s="9"/>
    </row>
    <row r="26" spans="1:8" ht="12" customHeight="1">
      <c r="A26" s="9" t="s">
        <v>35</v>
      </c>
      <c r="C26" s="106"/>
      <c r="D26" s="9"/>
      <c r="E26" s="11" t="s">
        <v>8</v>
      </c>
      <c r="F26" s="12"/>
      <c r="G26" s="9"/>
    </row>
    <row r="27" spans="1:8" ht="15.7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3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3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ht="15" customHeight="1">
      <c r="A35" s="9" t="s">
        <v>46</v>
      </c>
      <c r="E35" s="11"/>
      <c r="F35" s="35"/>
      <c r="I35" s="40"/>
      <c r="J35" s="51"/>
      <c r="K35" s="40"/>
      <c r="M35" s="109" t="s">
        <v>47</v>
      </c>
    </row>
    <row r="36" spans="1:13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3" ht="15" customHeight="1">
      <c r="A37" s="9" t="s">
        <v>49</v>
      </c>
      <c r="C37" s="36"/>
      <c r="E37" s="11" t="s">
        <v>8</v>
      </c>
      <c r="F37" s="12"/>
    </row>
    <row r="38" spans="1:13" ht="15" customHeight="1">
      <c r="A38" s="9" t="s">
        <v>50</v>
      </c>
      <c r="B38" s="125"/>
      <c r="C38" s="125"/>
      <c r="D38" s="9"/>
      <c r="E38" s="11" t="s">
        <v>8</v>
      </c>
      <c r="F38" s="12"/>
      <c r="G38" s="9"/>
    </row>
    <row r="39" spans="1:13" ht="15" customHeight="1">
      <c r="A39" s="38" t="s">
        <v>51</v>
      </c>
      <c r="C39" s="39">
        <v>5000</v>
      </c>
      <c r="E39" s="11" t="s">
        <v>8</v>
      </c>
      <c r="F39" s="12">
        <f>C39</f>
        <v>5000</v>
      </c>
      <c r="H39" s="40"/>
    </row>
    <row r="40" spans="1:13" ht="15" customHeight="1">
      <c r="C40" s="107"/>
      <c r="E40" s="11"/>
      <c r="F40" s="12"/>
      <c r="H40" s="40"/>
    </row>
    <row r="41" spans="1:13" ht="15" customHeight="1">
      <c r="A41" s="46"/>
      <c r="B41" s="42"/>
      <c r="C41" s="108"/>
      <c r="D41" s="42"/>
      <c r="E41" s="44"/>
      <c r="F41" s="12"/>
      <c r="H41" s="40"/>
    </row>
    <row r="42" spans="1:13" ht="15" customHeight="1">
      <c r="A42" s="46"/>
      <c r="B42" s="42"/>
      <c r="C42" s="108"/>
      <c r="D42" s="42"/>
      <c r="E42" s="44"/>
      <c r="F42" s="12"/>
      <c r="H42" s="40"/>
    </row>
    <row r="43" spans="1:13" ht="15" customHeight="1">
      <c r="A43" s="46"/>
      <c r="B43" s="42"/>
      <c r="C43" s="108"/>
      <c r="D43" s="42"/>
      <c r="E43" s="44"/>
      <c r="F43" s="12"/>
      <c r="H43" s="40"/>
    </row>
    <row r="44" spans="1:13" ht="21.75" customHeight="1">
      <c r="B44" s="47" t="s">
        <v>52</v>
      </c>
      <c r="E44" s="48" t="s">
        <v>8</v>
      </c>
      <c r="F44" s="49">
        <f>SUM(F7:F39)</f>
        <v>20425</v>
      </c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26" t="s">
        <v>57</v>
      </c>
      <c r="E48" s="126"/>
      <c r="F48" s="126"/>
      <c r="K48" s="40"/>
    </row>
    <row r="49" spans="4:6">
      <c r="D49" s="127" t="s">
        <v>58</v>
      </c>
      <c r="E49" s="127"/>
      <c r="F49" s="127"/>
    </row>
  </sheetData>
  <mergeCells count="9">
    <mergeCell ref="B38:C38"/>
    <mergeCell ref="D48:F48"/>
    <mergeCell ref="D49:F49"/>
    <mergeCell ref="A2:F2"/>
    <mergeCell ref="D3:E3"/>
    <mergeCell ref="B12:C12"/>
    <mergeCell ref="B13:C13"/>
    <mergeCell ref="B16:D16"/>
    <mergeCell ref="B25:C25"/>
  </mergeCells>
  <pageMargins left="0.75" right="0.75" top="0.75" bottom="0.5" header="0.12" footer="0.33"/>
  <pageSetup paperSize="256" scale="93" orientation="portrait" r:id="rId1"/>
  <headerFooter>
    <oddFooter>&amp;LEffectivity Date: March 2014&amp;CRev. 0&amp;RPage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5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7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8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9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0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1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2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3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4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5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B7F5-ABBA-4D8D-854E-D2E9A4A71978}">
  <dimension ref="A1:N50"/>
  <sheetViews>
    <sheetView view="pageBreakPreview" topLeftCell="A19" zoomScale="140" zoomScaleNormal="140" workbookViewId="0">
      <selection activeCell="C34" sqref="C34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17.7109375" style="1" customWidth="1"/>
    <col min="7" max="7" width="10.28515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11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119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111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14000</v>
      </c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G15" s="55"/>
      <c r="I15" s="53"/>
      <c r="K15" s="53"/>
      <c r="L15" s="53"/>
      <c r="M15" s="53"/>
      <c r="N15" s="53"/>
    </row>
    <row r="16" spans="1:14" ht="15" customHeight="1">
      <c r="A16" s="9" t="s">
        <v>25</v>
      </c>
      <c r="B16" s="140"/>
      <c r="C16" s="140"/>
      <c r="D16" s="140"/>
      <c r="E16" s="11" t="s">
        <v>8</v>
      </c>
      <c r="F16" s="16"/>
      <c r="J16" s="11"/>
    </row>
    <row r="17" spans="1:11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1" ht="1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/>
    </row>
    <row r="19" spans="1:11" ht="15.75">
      <c r="A19" s="8" t="s">
        <v>28</v>
      </c>
      <c r="E19" s="11"/>
      <c r="F19" s="27"/>
      <c r="I19" s="28" t="s">
        <v>71</v>
      </c>
    </row>
    <row r="20" spans="1:11" ht="15" customHeight="1">
      <c r="A20" s="9" t="s">
        <v>29</v>
      </c>
      <c r="C20" s="22"/>
      <c r="E20" s="11" t="s">
        <v>8</v>
      </c>
      <c r="F20" s="12"/>
      <c r="I20" s="28" t="s">
        <v>72</v>
      </c>
    </row>
    <row r="21" spans="1:11" ht="15" customHeight="1">
      <c r="A21" s="9" t="s">
        <v>30</v>
      </c>
      <c r="B21" s="5"/>
      <c r="C21" s="28" t="s">
        <v>113</v>
      </c>
      <c r="E21" s="11"/>
      <c r="F21" s="12">
        <v>2062.5</v>
      </c>
    </row>
    <row r="22" spans="1:11" ht="15" customHeight="1">
      <c r="A22" s="9" t="s">
        <v>31</v>
      </c>
      <c r="B22" s="5"/>
      <c r="C22" s="28" t="s">
        <v>113</v>
      </c>
      <c r="E22" s="11"/>
      <c r="F22" s="12">
        <v>2062.5</v>
      </c>
      <c r="G22" s="9"/>
    </row>
    <row r="23" spans="1:11" ht="15" customHeight="1">
      <c r="A23" s="9" t="s">
        <v>32</v>
      </c>
      <c r="B23" s="5"/>
      <c r="C23" s="28" t="s">
        <v>114</v>
      </c>
      <c r="E23" s="11"/>
      <c r="F23" s="12">
        <v>1625</v>
      </c>
      <c r="G23" s="17"/>
      <c r="H23" s="9"/>
    </row>
    <row r="24" spans="1:11" ht="13.5" customHeight="1">
      <c r="A24" s="9" t="s">
        <v>33</v>
      </c>
      <c r="B24" s="5"/>
      <c r="C24" s="28" t="s">
        <v>115</v>
      </c>
      <c r="E24" s="11"/>
      <c r="F24" s="12">
        <v>250</v>
      </c>
      <c r="G24" s="17"/>
      <c r="H24" s="9"/>
    </row>
    <row r="25" spans="1:11" ht="10.5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>
        <v>5000</v>
      </c>
      <c r="E38" s="11" t="s">
        <v>8</v>
      </c>
      <c r="F38" s="12">
        <v>5000</v>
      </c>
      <c r="H38" s="40"/>
      <c r="I38" s="135"/>
      <c r="J38" s="135"/>
      <c r="K38" s="135"/>
    </row>
    <row r="39" spans="1:11" ht="15" customHeight="1">
      <c r="A39" s="41"/>
      <c r="C39" s="39">
        <v>650</v>
      </c>
      <c r="E39" s="11" t="s">
        <v>8</v>
      </c>
      <c r="F39" s="12">
        <v>650</v>
      </c>
      <c r="H39" s="40"/>
      <c r="I39" s="135"/>
      <c r="J39" s="135"/>
      <c r="K39" s="135"/>
    </row>
    <row r="40" spans="1:11" ht="15" customHeight="1">
      <c r="A40" s="41"/>
      <c r="B40" s="42"/>
      <c r="C40" s="43">
        <v>2000</v>
      </c>
      <c r="D40" s="42"/>
      <c r="E40" s="11" t="s">
        <v>8</v>
      </c>
      <c r="F40" s="12">
        <v>2000</v>
      </c>
      <c r="H40" s="40"/>
    </row>
    <row r="41" spans="1:11" ht="15" customHeight="1">
      <c r="A41" s="45"/>
      <c r="B41" s="42"/>
      <c r="C41" s="43">
        <v>5000</v>
      </c>
      <c r="D41" s="42"/>
      <c r="E41" s="11" t="s">
        <v>8</v>
      </c>
      <c r="F41" s="12">
        <v>5000</v>
      </c>
      <c r="H41" s="40"/>
    </row>
    <row r="42" spans="1:11" ht="15" customHeight="1">
      <c r="A42" s="46" t="s">
        <v>66</v>
      </c>
      <c r="B42" s="42"/>
      <c r="C42" s="43">
        <v>3000</v>
      </c>
      <c r="D42" s="42"/>
      <c r="E42" s="11" t="s">
        <v>8</v>
      </c>
      <c r="F42" s="12">
        <v>3000</v>
      </c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SUM(F6:F44)</f>
        <v>35650</v>
      </c>
      <c r="G45" s="50" t="s">
        <v>67</v>
      </c>
      <c r="H45" s="40"/>
    </row>
    <row r="46" spans="1:11">
      <c r="H46" s="51"/>
    </row>
    <row r="47" spans="1:11">
      <c r="A47" s="1" t="s">
        <v>53</v>
      </c>
      <c r="C47" s="129" t="s">
        <v>54</v>
      </c>
      <c r="D47" s="129"/>
      <c r="E47" s="129"/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53" t="s">
        <v>57</v>
      </c>
      <c r="E49" s="153"/>
      <c r="F49" s="153"/>
      <c r="G49" s="153"/>
      <c r="K49" s="40"/>
    </row>
    <row r="50" spans="1:11">
      <c r="D50" s="154" t="s">
        <v>58</v>
      </c>
      <c r="E50" s="154"/>
      <c r="F50" s="154"/>
      <c r="G50" s="154"/>
    </row>
  </sheetData>
  <mergeCells count="13">
    <mergeCell ref="B16:D16"/>
    <mergeCell ref="A2:F2"/>
    <mergeCell ref="D3:E3"/>
    <mergeCell ref="H10:N10"/>
    <mergeCell ref="B12:C12"/>
    <mergeCell ref="B13:C13"/>
    <mergeCell ref="D50:G50"/>
    <mergeCell ref="B25:C25"/>
    <mergeCell ref="B26:C26"/>
    <mergeCell ref="I32:K39"/>
    <mergeCell ref="B37:C37"/>
    <mergeCell ref="C47:E47"/>
    <mergeCell ref="D49:G49"/>
  </mergeCells>
  <pageMargins left="0.75" right="0.75" top="0.75" bottom="0.5" header="0.12" footer="0.33"/>
  <pageSetup paperSize="256" scale="92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617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18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19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0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1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2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3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4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5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6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7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8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29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4DFA-A27E-4ECE-8261-A44C54F30037}">
  <dimension ref="A1:N50"/>
  <sheetViews>
    <sheetView view="pageBreakPreview" zoomScale="140" zoomScaleNormal="140" workbookViewId="0">
      <selection activeCell="C43" sqref="C43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17.7109375" style="1" customWidth="1"/>
    <col min="7" max="7" width="10.28515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11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111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111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>
        <v>4000</v>
      </c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G15" s="55"/>
      <c r="I15" s="53"/>
      <c r="K15" s="53"/>
      <c r="L15" s="53"/>
      <c r="M15" s="53"/>
      <c r="N15" s="53"/>
    </row>
    <row r="16" spans="1:14" ht="15" customHeight="1">
      <c r="A16" s="9" t="s">
        <v>25</v>
      </c>
      <c r="B16" s="140"/>
      <c r="C16" s="140"/>
      <c r="D16" s="140"/>
      <c r="E16" s="11" t="s">
        <v>8</v>
      </c>
      <c r="F16" s="16"/>
      <c r="J16" s="11"/>
    </row>
    <row r="17" spans="1:11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1" ht="1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/>
    </row>
    <row r="19" spans="1:11" ht="15.75">
      <c r="A19" s="8" t="s">
        <v>28</v>
      </c>
      <c r="E19" s="11"/>
      <c r="F19" s="27"/>
      <c r="I19" s="28" t="s">
        <v>71</v>
      </c>
    </row>
    <row r="20" spans="1:11" ht="15" customHeight="1">
      <c r="A20" s="9" t="s">
        <v>29</v>
      </c>
      <c r="C20" s="22"/>
      <c r="E20" s="11" t="s">
        <v>8</v>
      </c>
      <c r="F20" s="12"/>
      <c r="I20" s="28" t="s">
        <v>72</v>
      </c>
    </row>
    <row r="21" spans="1:11" ht="15" customHeight="1">
      <c r="A21" s="9" t="s">
        <v>30</v>
      </c>
      <c r="B21" s="5"/>
      <c r="C21" s="28" t="s">
        <v>112</v>
      </c>
      <c r="E21" s="11"/>
      <c r="F21" s="12">
        <v>2137.5</v>
      </c>
    </row>
    <row r="22" spans="1:11" ht="15" customHeight="1">
      <c r="A22" s="9" t="s">
        <v>31</v>
      </c>
      <c r="B22" s="5"/>
      <c r="C22" s="28" t="s">
        <v>112</v>
      </c>
      <c r="E22" s="11"/>
      <c r="F22" s="12">
        <v>2137.5</v>
      </c>
      <c r="G22" s="9"/>
      <c r="H22" s="1" t="s">
        <v>81</v>
      </c>
    </row>
    <row r="23" spans="1:11" ht="15" customHeight="1">
      <c r="A23" s="9" t="s">
        <v>32</v>
      </c>
      <c r="B23" s="5"/>
      <c r="C23" s="28" t="s">
        <v>71</v>
      </c>
      <c r="E23" s="11"/>
      <c r="F23" s="12">
        <v>2210</v>
      </c>
      <c r="G23" s="17"/>
      <c r="H23" s="9" t="s">
        <v>82</v>
      </c>
    </row>
    <row r="24" spans="1:11" ht="13.5" customHeight="1">
      <c r="A24" s="9" t="s">
        <v>33</v>
      </c>
      <c r="B24" s="5"/>
      <c r="C24" s="28" t="s">
        <v>72</v>
      </c>
      <c r="E24" s="11"/>
      <c r="F24" s="12">
        <v>340</v>
      </c>
      <c r="G24" s="17"/>
      <c r="H24" s="9"/>
      <c r="K24" s="1">
        <v>7500</v>
      </c>
    </row>
    <row r="25" spans="1:11" ht="10.5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>
        <v>9375</v>
      </c>
      <c r="E38" s="11" t="s">
        <v>8</v>
      </c>
      <c r="F38" s="12">
        <v>9375</v>
      </c>
      <c r="H38" s="40"/>
      <c r="I38" s="135"/>
      <c r="J38" s="135"/>
      <c r="K38" s="135"/>
    </row>
    <row r="39" spans="1:11" ht="15" customHeight="1">
      <c r="A39" s="41"/>
      <c r="C39" s="39">
        <v>1000</v>
      </c>
      <c r="E39" s="11" t="s">
        <v>8</v>
      </c>
      <c r="F39" s="12">
        <v>1000</v>
      </c>
      <c r="H39" s="40"/>
      <c r="I39" s="135"/>
      <c r="J39" s="135"/>
      <c r="K39" s="135"/>
    </row>
    <row r="40" spans="1:11" ht="15" customHeight="1">
      <c r="A40" s="41"/>
      <c r="B40" s="42"/>
      <c r="C40" s="43">
        <v>650</v>
      </c>
      <c r="D40" s="42"/>
      <c r="E40" s="11" t="s">
        <v>8</v>
      </c>
      <c r="F40" s="12">
        <v>650</v>
      </c>
      <c r="H40" s="40"/>
    </row>
    <row r="41" spans="1:11" ht="15" customHeight="1">
      <c r="A41" s="45"/>
      <c r="B41" s="42"/>
      <c r="C41" s="43">
        <v>2000</v>
      </c>
      <c r="D41" s="42"/>
      <c r="E41" s="11" t="s">
        <v>8</v>
      </c>
      <c r="F41" s="12">
        <v>2000</v>
      </c>
      <c r="H41" s="40"/>
    </row>
    <row r="42" spans="1:11" ht="15" customHeight="1">
      <c r="A42" s="46" t="s">
        <v>66</v>
      </c>
      <c r="B42" s="42"/>
      <c r="C42" s="43"/>
      <c r="D42" s="42"/>
      <c r="E42" s="11" t="s">
        <v>8</v>
      </c>
      <c r="F42" s="12"/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SUM(F7:F44)</f>
        <v>23850</v>
      </c>
      <c r="G45" s="50" t="s">
        <v>67</v>
      </c>
      <c r="H45" s="40"/>
    </row>
    <row r="46" spans="1:11">
      <c r="H46" s="51"/>
    </row>
    <row r="47" spans="1:11">
      <c r="A47" s="1" t="s">
        <v>53</v>
      </c>
      <c r="C47" s="129" t="s">
        <v>54</v>
      </c>
      <c r="D47" s="129"/>
      <c r="E47" s="129"/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53" t="s">
        <v>57</v>
      </c>
      <c r="E49" s="153"/>
      <c r="F49" s="153"/>
      <c r="G49" s="153"/>
      <c r="K49" s="40"/>
    </row>
    <row r="50" spans="1:11">
      <c r="D50" s="154" t="s">
        <v>58</v>
      </c>
      <c r="E50" s="154"/>
      <c r="F50" s="154"/>
      <c r="G50" s="154"/>
    </row>
  </sheetData>
  <mergeCells count="13">
    <mergeCell ref="D50:G50"/>
    <mergeCell ref="B25:C25"/>
    <mergeCell ref="B26:C26"/>
    <mergeCell ref="I32:K39"/>
    <mergeCell ref="B37:C37"/>
    <mergeCell ref="C47:E47"/>
    <mergeCell ref="D49:G49"/>
    <mergeCell ref="B16:D16"/>
    <mergeCell ref="A2:F2"/>
    <mergeCell ref="D3:E3"/>
    <mergeCell ref="H10:N10"/>
    <mergeCell ref="B12:C12"/>
    <mergeCell ref="B13:C13"/>
  </mergeCells>
  <pageMargins left="0.75" right="0.75" top="0.75" bottom="0.5" header="0.12" footer="0.33"/>
  <pageSetup paperSize="256" scale="92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41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3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5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6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7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8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9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50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51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52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53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4F57-A634-4E4B-BE2D-FA42E0F19632}">
  <dimension ref="A1:N50"/>
  <sheetViews>
    <sheetView view="pageBreakPreview" topLeftCell="A7" zoomScale="140" zoomScaleNormal="140" workbookViewId="0">
      <selection activeCell="G23" sqref="G23"/>
    </sheetView>
  </sheetViews>
  <sheetFormatPr defaultColWidth="9.140625" defaultRowHeight="15"/>
  <cols>
    <col min="1" max="1" width="27.5703125" style="1" customWidth="1"/>
    <col min="2" max="2" width="15" style="1" customWidth="1"/>
    <col min="3" max="3" width="19.28515625" style="1" customWidth="1"/>
    <col min="4" max="4" width="3.5703125" style="1" customWidth="1"/>
    <col min="5" max="5" width="3.7109375" style="1" customWidth="1"/>
    <col min="6" max="6" width="17.7109375" style="1" customWidth="1"/>
    <col min="7" max="7" width="10.28515625" style="1" customWidth="1"/>
    <col min="8" max="8" width="11.5703125" style="1" customWidth="1"/>
    <col min="9" max="9" width="10.5703125" style="1" customWidth="1"/>
    <col min="10" max="10" width="9.5703125" style="1" customWidth="1"/>
    <col min="11" max="11" width="10" style="1" customWidth="1"/>
    <col min="12" max="12" width="11" style="1" customWidth="1"/>
    <col min="13" max="13" width="10" style="1" customWidth="1"/>
    <col min="14" max="16384" width="9.140625" style="1"/>
  </cols>
  <sheetData>
    <row r="1" spans="1:14" ht="51.75" customHeight="1"/>
    <row r="2" spans="1:14" ht="16.5" customHeight="1">
      <c r="A2" s="128" t="s">
        <v>59</v>
      </c>
      <c r="B2" s="128"/>
      <c r="C2" s="128"/>
      <c r="D2" s="128"/>
      <c r="E2" s="128"/>
      <c r="F2" s="128"/>
    </row>
    <row r="3" spans="1:14">
      <c r="D3" s="129"/>
      <c r="E3" s="129"/>
      <c r="F3" s="2" t="s">
        <v>1</v>
      </c>
      <c r="G3" s="3"/>
    </row>
    <row r="4" spans="1:14" ht="15.75">
      <c r="A4" s="4" t="s">
        <v>117</v>
      </c>
      <c r="B4" s="54"/>
      <c r="C4" s="54"/>
      <c r="D4" s="5"/>
      <c r="F4" s="6" t="s">
        <v>3</v>
      </c>
      <c r="G4" s="7"/>
    </row>
    <row r="5" spans="1:14" ht="15.75">
      <c r="A5" s="8" t="s">
        <v>4</v>
      </c>
      <c r="F5" s="111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24"/>
      <c r="I10" s="124"/>
      <c r="J10" s="124"/>
      <c r="K10" s="124"/>
      <c r="L10" s="124"/>
      <c r="M10" s="124"/>
      <c r="N10" s="124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33"/>
      <c r="C12" s="124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30"/>
      <c r="C13" s="131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G15" s="55"/>
      <c r="I15" s="53"/>
      <c r="K15" s="53"/>
      <c r="L15" s="53"/>
      <c r="M15" s="53"/>
      <c r="N15" s="53"/>
    </row>
    <row r="16" spans="1:14" ht="15" customHeight="1">
      <c r="A16" s="9" t="s">
        <v>25</v>
      </c>
      <c r="B16" s="140" t="s">
        <v>118</v>
      </c>
      <c r="C16" s="140"/>
      <c r="D16" s="140"/>
      <c r="E16" s="11" t="s">
        <v>8</v>
      </c>
      <c r="F16" s="16">
        <v>3000</v>
      </c>
      <c r="G16" s="118"/>
      <c r="J16" s="11"/>
    </row>
    <row r="17" spans="1:11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1" ht="15" customHeight="1">
      <c r="A18" s="9" t="s">
        <v>27</v>
      </c>
      <c r="C18" s="24"/>
      <c r="D18" s="9"/>
      <c r="E18" s="11" t="s">
        <v>8</v>
      </c>
      <c r="F18" s="16"/>
      <c r="G18" s="9"/>
      <c r="H18" s="11"/>
      <c r="J18" s="11"/>
    </row>
    <row r="19" spans="1:11" ht="15.75">
      <c r="A19" s="8" t="s">
        <v>28</v>
      </c>
      <c r="E19" s="11"/>
      <c r="F19" s="27"/>
      <c r="I19" s="28" t="s">
        <v>71</v>
      </c>
    </row>
    <row r="20" spans="1:11" ht="15" customHeight="1">
      <c r="A20" s="9" t="s">
        <v>29</v>
      </c>
      <c r="C20" s="22"/>
      <c r="E20" s="11" t="s">
        <v>8</v>
      </c>
      <c r="F20" s="12"/>
      <c r="I20" s="28" t="s">
        <v>72</v>
      </c>
    </row>
    <row r="21" spans="1:11" ht="15" customHeight="1">
      <c r="A21" s="9" t="s">
        <v>30</v>
      </c>
      <c r="B21" s="5"/>
      <c r="C21" s="28"/>
      <c r="E21" s="11"/>
      <c r="F21" s="12"/>
    </row>
    <row r="22" spans="1:11" ht="15" customHeight="1">
      <c r="A22" s="9" t="s">
        <v>31</v>
      </c>
      <c r="B22" s="5"/>
      <c r="C22" s="28"/>
      <c r="E22" s="11"/>
      <c r="F22" s="12"/>
      <c r="G22" s="9"/>
      <c r="H22" s="1" t="s">
        <v>81</v>
      </c>
    </row>
    <row r="23" spans="1:11" ht="15" customHeight="1">
      <c r="A23" s="9" t="s">
        <v>32</v>
      </c>
      <c r="B23" s="5"/>
      <c r="C23" s="28"/>
      <c r="E23" s="11"/>
      <c r="F23" s="12"/>
      <c r="G23" s="17"/>
      <c r="H23" s="9" t="s">
        <v>82</v>
      </c>
    </row>
    <row r="24" spans="1:11" ht="13.5" customHeight="1">
      <c r="A24" s="9" t="s">
        <v>33</v>
      </c>
      <c r="B24" s="5"/>
      <c r="C24" s="28"/>
      <c r="E24" s="11"/>
      <c r="F24" s="12"/>
      <c r="G24" s="17"/>
      <c r="H24" s="9"/>
      <c r="K24" s="1">
        <v>7500</v>
      </c>
    </row>
    <row r="25" spans="1:11" ht="10.5" customHeight="1">
      <c r="A25" s="9" t="s">
        <v>34</v>
      </c>
      <c r="B25" s="136"/>
      <c r="C25" s="136"/>
      <c r="D25" s="31"/>
      <c r="E25" s="11" t="s">
        <v>8</v>
      </c>
      <c r="F25" s="12"/>
      <c r="G25" s="9"/>
    </row>
    <row r="26" spans="1:11" ht="14.25" customHeight="1">
      <c r="A26" s="9" t="s">
        <v>35</v>
      </c>
      <c r="B26" s="137"/>
      <c r="C26" s="137"/>
      <c r="D26" s="9"/>
      <c r="E26" s="11" t="s">
        <v>8</v>
      </c>
      <c r="F26" s="12"/>
      <c r="G26" s="9"/>
    </row>
    <row r="27" spans="1:11" ht="15.75">
      <c r="A27" s="8" t="s">
        <v>36</v>
      </c>
      <c r="E27" s="11"/>
      <c r="F27" s="27"/>
    </row>
    <row r="28" spans="1:11" ht="15" customHeight="1">
      <c r="A28" s="9" t="s">
        <v>37</v>
      </c>
      <c r="E28" s="11"/>
      <c r="F28" s="27"/>
    </row>
    <row r="29" spans="1:11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  <c r="I29" s="56"/>
    </row>
    <row r="30" spans="1:11" ht="15" customHeight="1">
      <c r="A30" s="9" t="s">
        <v>41</v>
      </c>
      <c r="E30" s="11" t="s">
        <v>8</v>
      </c>
      <c r="F30" s="33"/>
      <c r="I30" s="56"/>
    </row>
    <row r="31" spans="1:11" ht="15" hidden="1" customHeight="1">
      <c r="A31" s="9" t="s">
        <v>42</v>
      </c>
      <c r="C31" s="34"/>
      <c r="D31" s="9"/>
      <c r="E31" s="11" t="s">
        <v>8</v>
      </c>
      <c r="F31" s="33"/>
      <c r="G31" s="9"/>
      <c r="I31" s="56"/>
    </row>
    <row r="32" spans="1:11" ht="15" customHeight="1">
      <c r="A32" s="9" t="s">
        <v>43</v>
      </c>
      <c r="C32" s="34"/>
      <c r="D32" s="9"/>
      <c r="E32" s="11" t="s">
        <v>8</v>
      </c>
      <c r="F32" s="33"/>
      <c r="G32" s="9"/>
      <c r="I32" s="134" t="s">
        <v>63</v>
      </c>
      <c r="J32" s="135"/>
      <c r="K32" s="135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  <c r="I33" s="135"/>
      <c r="J33" s="135"/>
      <c r="K33" s="135"/>
    </row>
    <row r="34" spans="1:11" ht="15" customHeight="1">
      <c r="A34" s="9" t="s">
        <v>46</v>
      </c>
      <c r="E34" s="11"/>
      <c r="F34" s="35"/>
      <c r="I34" s="135"/>
      <c r="J34" s="135"/>
      <c r="K34" s="135"/>
    </row>
    <row r="35" spans="1:11" ht="15" customHeight="1">
      <c r="A35" s="9" t="s">
        <v>48</v>
      </c>
      <c r="C35" s="22"/>
      <c r="E35" s="11" t="s">
        <v>8</v>
      </c>
      <c r="F35" s="12"/>
      <c r="I35" s="135"/>
      <c r="J35" s="135"/>
      <c r="K35" s="135"/>
    </row>
    <row r="36" spans="1:11" ht="15" customHeight="1">
      <c r="A36" s="9" t="s">
        <v>49</v>
      </c>
      <c r="C36" s="36"/>
      <c r="E36" s="11" t="s">
        <v>8</v>
      </c>
      <c r="F36" s="37"/>
      <c r="I36" s="135"/>
      <c r="J36" s="135"/>
      <c r="K36" s="135"/>
    </row>
    <row r="37" spans="1:11" ht="15" customHeight="1">
      <c r="A37" s="9" t="s">
        <v>50</v>
      </c>
      <c r="B37" s="125"/>
      <c r="C37" s="125"/>
      <c r="D37" s="9"/>
      <c r="E37" s="11" t="s">
        <v>8</v>
      </c>
      <c r="F37" s="12"/>
      <c r="G37" s="9" t="s">
        <v>64</v>
      </c>
      <c r="I37" s="135"/>
      <c r="J37" s="135"/>
      <c r="K37" s="135"/>
    </row>
    <row r="38" spans="1:11" ht="15" customHeight="1">
      <c r="A38" s="38" t="s">
        <v>65</v>
      </c>
      <c r="C38" s="39"/>
      <c r="E38" s="11" t="s">
        <v>8</v>
      </c>
      <c r="F38" s="12"/>
      <c r="H38" s="40"/>
      <c r="I38" s="135"/>
      <c r="J38" s="135"/>
      <c r="K38" s="135"/>
    </row>
    <row r="39" spans="1:11" ht="15" customHeight="1">
      <c r="A39" s="41"/>
      <c r="C39" s="39"/>
      <c r="E39" s="11" t="s">
        <v>8</v>
      </c>
      <c r="F39" s="12"/>
      <c r="H39" s="40"/>
      <c r="I39" s="135"/>
      <c r="J39" s="135"/>
      <c r="K39" s="135"/>
    </row>
    <row r="40" spans="1:11" ht="15" customHeight="1">
      <c r="A40" s="41"/>
      <c r="B40" s="42"/>
      <c r="C40" s="43"/>
      <c r="D40" s="42"/>
      <c r="E40" s="11" t="s">
        <v>8</v>
      </c>
      <c r="F40" s="12"/>
      <c r="H40" s="40"/>
    </row>
    <row r="41" spans="1:11" ht="15" customHeight="1">
      <c r="A41" s="45"/>
      <c r="B41" s="42"/>
      <c r="C41" s="43"/>
      <c r="D41" s="42"/>
      <c r="E41" s="11" t="s">
        <v>8</v>
      </c>
      <c r="F41" s="12"/>
      <c r="H41" s="40"/>
    </row>
    <row r="42" spans="1:11" ht="15" customHeight="1">
      <c r="A42" s="46" t="s">
        <v>66</v>
      </c>
      <c r="B42" s="42"/>
      <c r="C42" s="43"/>
      <c r="D42" s="42"/>
      <c r="E42" s="11" t="s">
        <v>8</v>
      </c>
      <c r="F42" s="12"/>
      <c r="H42" s="40"/>
      <c r="I42" s="1">
        <v>0</v>
      </c>
    </row>
    <row r="43" spans="1:11" ht="15" customHeight="1">
      <c r="A43" s="46"/>
      <c r="B43" s="42"/>
      <c r="C43" s="43"/>
      <c r="D43" s="42"/>
      <c r="E43" s="11"/>
      <c r="F43" s="12"/>
      <c r="H43" s="40"/>
    </row>
    <row r="44" spans="1:11" ht="15" customHeight="1">
      <c r="A44" s="46"/>
      <c r="B44" s="42"/>
      <c r="C44" s="43"/>
      <c r="D44" s="42"/>
      <c r="E44" s="11"/>
      <c r="F44" s="12"/>
      <c r="H44" s="40"/>
    </row>
    <row r="45" spans="1:11" ht="21.75" customHeight="1">
      <c r="B45" s="47" t="s">
        <v>52</v>
      </c>
      <c r="E45" s="48" t="s">
        <v>8</v>
      </c>
      <c r="F45" s="49">
        <f>SUM(F7:F44)</f>
        <v>3000</v>
      </c>
      <c r="G45" s="50" t="s">
        <v>67</v>
      </c>
      <c r="H45" s="40"/>
    </row>
    <row r="46" spans="1:11">
      <c r="H46" s="51"/>
    </row>
    <row r="47" spans="1:11">
      <c r="A47" s="1" t="s">
        <v>53</v>
      </c>
      <c r="C47" s="129" t="s">
        <v>54</v>
      </c>
      <c r="D47" s="129"/>
      <c r="E47" s="129"/>
      <c r="H47" s="40"/>
      <c r="K47" s="51"/>
    </row>
    <row r="48" spans="1:11">
      <c r="A48" s="1" t="s">
        <v>55</v>
      </c>
      <c r="D48" s="5"/>
      <c r="E48" s="5"/>
      <c r="F48" s="5"/>
      <c r="G48" s="5"/>
      <c r="H48" s="40"/>
      <c r="K48" s="51"/>
    </row>
    <row r="49" spans="1:11">
      <c r="A49" s="1" t="s">
        <v>56</v>
      </c>
      <c r="D49" s="153" t="s">
        <v>57</v>
      </c>
      <c r="E49" s="153"/>
      <c r="F49" s="153"/>
      <c r="G49" s="153"/>
      <c r="K49" s="40"/>
    </row>
    <row r="50" spans="1:11">
      <c r="D50" s="154" t="s">
        <v>58</v>
      </c>
      <c r="E50" s="154"/>
      <c r="F50" s="154"/>
      <c r="G50" s="154"/>
    </row>
  </sheetData>
  <mergeCells count="13">
    <mergeCell ref="D50:G50"/>
    <mergeCell ref="B25:C25"/>
    <mergeCell ref="B26:C26"/>
    <mergeCell ref="I32:K39"/>
    <mergeCell ref="B37:C37"/>
    <mergeCell ref="C47:E47"/>
    <mergeCell ref="D49:G49"/>
    <mergeCell ref="B16:D16"/>
    <mergeCell ref="A2:F2"/>
    <mergeCell ref="D3:E3"/>
    <mergeCell ref="H10:N10"/>
    <mergeCell ref="B12:C12"/>
    <mergeCell ref="B13:C13"/>
  </mergeCells>
  <pageMargins left="0.75" right="0.75" top="0.75" bottom="0.5" header="0.12" footer="0.33"/>
  <pageSetup paperSize="256" scale="92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665" r:id="rId4" name="Check Box 1">
              <controlPr defaultSize="0" autoPict="0">
                <anchor moveWithCells="1">
                  <from>
                    <xdr:col>1</xdr:col>
                    <xdr:colOff>171450</xdr:colOff>
                    <xdr:row>4</xdr:row>
                    <xdr:rowOff>190500</xdr:rowOff>
                  </from>
                  <to>
                    <xdr:col>1</xdr:col>
                    <xdr:colOff>809625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66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714375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67" r:id="rId6" name="Check Box 3">
              <controlPr defaultSize="0" autoPict="0">
                <anchor moveWithCells="1">
                  <from>
                    <xdr:col>1</xdr:col>
                    <xdr:colOff>171450</xdr:colOff>
                    <xdr:row>5</xdr:row>
                    <xdr:rowOff>171450</xdr:rowOff>
                  </from>
                  <to>
                    <xdr:col>1</xdr:col>
                    <xdr:colOff>809625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68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171450</xdr:rowOff>
                  </from>
                  <to>
                    <xdr:col>2</xdr:col>
                    <xdr:colOff>714375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69" r:id="rId8" name="Check Box 5">
              <controlPr defaultSize="0" autoPict="0">
                <anchor moveWithCells="1">
                  <from>
                    <xdr:col>1</xdr:col>
                    <xdr:colOff>123825</xdr:colOff>
                    <xdr:row>7</xdr:row>
                    <xdr:rowOff>171450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0" r:id="rId9" name="Check Box 6">
              <controlPr defaultSize="0" autoPict="0">
                <anchor moveWithCells="1">
                  <from>
                    <xdr:col>1</xdr:col>
                    <xdr:colOff>123825</xdr:colOff>
                    <xdr:row>8</xdr:row>
                    <xdr:rowOff>171450</xdr:rowOff>
                  </from>
                  <to>
                    <xdr:col>1</xdr:col>
                    <xdr:colOff>762000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1" r:id="rId10" name="Check Box 7">
              <controlPr defaultSize="0" autoPict="0">
                <anchor moveWithCells="1">
                  <from>
                    <xdr:col>2</xdr:col>
                    <xdr:colOff>95250</xdr:colOff>
                    <xdr:row>7</xdr:row>
                    <xdr:rowOff>180975</xdr:rowOff>
                  </from>
                  <to>
                    <xdr:col>2</xdr:col>
                    <xdr:colOff>733425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2" r:id="rId11" name="Check Box 8">
              <controlPr defaultSize="0" autoPict="0">
                <anchor moveWithCells="1">
                  <from>
                    <xdr:col>2</xdr:col>
                    <xdr:colOff>95250</xdr:colOff>
                    <xdr:row>8</xdr:row>
                    <xdr:rowOff>180975</xdr:rowOff>
                  </from>
                  <to>
                    <xdr:col>2</xdr:col>
                    <xdr:colOff>733425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3" r:id="rId12" name="Check Box 9">
              <controlPr defaultSize="0" autoPict="0">
                <anchor moveWithCells="1">
                  <from>
                    <xdr:col>1</xdr:col>
                    <xdr:colOff>85725</xdr:colOff>
                    <xdr:row>13</xdr:row>
                    <xdr:rowOff>180975</xdr:rowOff>
                  </from>
                  <to>
                    <xdr:col>1</xdr:col>
                    <xdr:colOff>723900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4" r:id="rId13" name="Check Box 10">
              <controlPr defaultSize="0" autoPict="0">
                <anchor moveWithCells="1">
                  <from>
                    <xdr:col>2</xdr:col>
                    <xdr:colOff>47625</xdr:colOff>
                    <xdr:row>13</xdr:row>
                    <xdr:rowOff>171450</xdr:rowOff>
                  </from>
                  <to>
                    <xdr:col>2</xdr:col>
                    <xdr:colOff>685800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5" r:id="rId14" name="Check Box 11">
              <controlPr defaultSize="0" autoPict="0">
                <anchor moveWithCells="1">
                  <from>
                    <xdr:col>0</xdr:col>
                    <xdr:colOff>438150</xdr:colOff>
                    <xdr:row>27</xdr:row>
                    <xdr:rowOff>171450</xdr:rowOff>
                  </from>
                  <to>
                    <xdr:col>0</xdr:col>
                    <xdr:colOff>1076325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6" r:id="rId15" name="Check Box 12">
              <controlPr defaultSize="0" autoPict="0">
                <anchor moveWithCells="1">
                  <from>
                    <xdr:col>1</xdr:col>
                    <xdr:colOff>133350</xdr:colOff>
                    <xdr:row>27</xdr:row>
                    <xdr:rowOff>180975</xdr:rowOff>
                  </from>
                  <to>
                    <xdr:col>1</xdr:col>
                    <xdr:colOff>771525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77" r:id="rId16" name="Check Box 13">
              <controlPr defaultSize="0" autoPict="0">
                <anchor moveWithCells="1">
                  <from>
                    <xdr:col>2</xdr:col>
                    <xdr:colOff>66675</xdr:colOff>
                    <xdr:row>27</xdr:row>
                    <xdr:rowOff>171450</xdr:rowOff>
                  </from>
                  <to>
                    <xdr:col>2</xdr:col>
                    <xdr:colOff>704850</xdr:colOff>
                    <xdr:row>29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old</vt:lpstr>
      <vt:lpstr>new</vt:lpstr>
      <vt:lpstr>TOGA</vt:lpstr>
      <vt:lpstr>DORM</vt:lpstr>
      <vt:lpstr>LAGYAP</vt:lpstr>
      <vt:lpstr>WATER</vt:lpstr>
      <vt:lpstr>CANTEEN</vt:lpstr>
      <vt:lpstr>HOTEL</vt:lpstr>
      <vt:lpstr>PHOTOCOPY</vt:lpstr>
      <vt:lpstr>STAFF HOUSE (2)</vt:lpstr>
      <vt:lpstr>STAFF HOUSE</vt:lpstr>
      <vt:lpstr>EVVENT ITO</vt:lpstr>
      <vt:lpstr>LGU 2</vt:lpstr>
      <vt:lpstr>EVET WITH ADDITIONAL</vt:lpstr>
      <vt:lpstr>NNHS 89.0</vt:lpstr>
      <vt:lpstr>NHHS</vt:lpstr>
      <vt:lpstr>LGU</vt:lpstr>
      <vt:lpstr>new (4)</vt:lpstr>
      <vt:lpstr>demi</vt:lpstr>
      <vt:lpstr>old (2)</vt:lpstr>
      <vt:lpstr>ARIS</vt:lpstr>
      <vt:lpstr>NNHS 1990)</vt:lpstr>
      <vt:lpstr>STUDIO</vt:lpstr>
      <vt:lpstr>ARIS!Print_Area</vt:lpstr>
      <vt:lpstr>CANTEEN!Print_Area</vt:lpstr>
      <vt:lpstr>demi!Print_Area</vt:lpstr>
      <vt:lpstr>DORM!Print_Area</vt:lpstr>
      <vt:lpstr>'EVET WITH ADDITIONAL'!Print_Area</vt:lpstr>
      <vt:lpstr>'EVVENT ITO'!Print_Area</vt:lpstr>
      <vt:lpstr>HOTEL!Print_Area</vt:lpstr>
      <vt:lpstr>LAGYAP!Print_Area</vt:lpstr>
      <vt:lpstr>LGU!Print_Area</vt:lpstr>
      <vt:lpstr>'LGU 2'!Print_Area</vt:lpstr>
      <vt:lpstr>new!Print_Area</vt:lpstr>
      <vt:lpstr>'new (4)'!Print_Area</vt:lpstr>
      <vt:lpstr>NHHS!Print_Area</vt:lpstr>
      <vt:lpstr>'NNHS 1990)'!Print_Area</vt:lpstr>
      <vt:lpstr>'NNHS 89.0'!Print_Area</vt:lpstr>
      <vt:lpstr>old!Print_Area</vt:lpstr>
      <vt:lpstr>'old (2)'!Print_Area</vt:lpstr>
      <vt:lpstr>PHOTOCOPY!Print_Area</vt:lpstr>
      <vt:lpstr>'STAFF HOUSE'!Print_Area</vt:lpstr>
      <vt:lpstr>'STAFF HOUSE (2)'!Print_Area</vt:lpstr>
      <vt:lpstr>STUDIO!Print_Area</vt:lpstr>
      <vt:lpstr>TOGA!Print_Area</vt:lpstr>
      <vt:lpstr>WATER!Print_Area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mjhane.chavez20@gmail.com</cp:lastModifiedBy>
  <cp:lastPrinted>2025-05-07T05:57:57Z</cp:lastPrinted>
  <dcterms:created xsi:type="dcterms:W3CDTF">2018-11-28T06:09:00Z</dcterms:created>
  <dcterms:modified xsi:type="dcterms:W3CDTF">2025-05-07T06:02:58Z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